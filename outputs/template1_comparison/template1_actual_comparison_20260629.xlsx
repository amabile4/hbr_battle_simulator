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機比較" sheetId="1" state="visible" r:id="rId1"/>
    <sheet name="使い方" sheetId="2" state="visible" r:id="rId2"/>
  </sheets>
  <definedNames>
    <definedName name="_xlnm._FilterDatabase" localSheetId="0" hidden="1">'実機比較'!$A$6:$AL$726</definedName>
    <definedName name="_xlnm.Print_Titles" localSheetId="0">'実機比較'!$1:$6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17365D"/>
    </font>
    <font>
      <name val="Yu Gothic"/>
      <b val="1"/>
      <color rgb="0017365D"/>
      <sz val="12"/>
    </font>
    <font>
      <name val="Yu Gothic"/>
      <color rgb="0017365D"/>
    </font>
    <font>
      <name val="Yu Gothic"/>
      <b val="1"/>
      <color rgb="00FFFFFF"/>
    </font>
    <font>
      <name val="Yu Gothic"/>
      <b val="1"/>
      <color rgb="00FFFFFF"/>
      <sz val="9"/>
    </font>
    <font>
      <name val="Yu Gothic"/>
      <sz val="9"/>
    </font>
    <font>
      <name val="Yu Gothic"/>
      <b val="1"/>
      <color rgb="004472C4"/>
    </font>
    <font>
      <name val="Yu Gothic"/>
    </font>
    <font>
      <name val="Calibri"/>
      <family val="2"/>
      <color theme="10"/>
      <sz val="12"/>
      <scheme val="minor"/>
    </font>
    <font>
      <name val="Yu Gothic"/>
      <color theme="1"/>
      <sz val="10"/>
    </font>
    <font>
      <name val="Yu Gothic"/>
      <color theme="10"/>
      <sz val="10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8064A2"/>
      </patternFill>
    </fill>
    <fill>
      <patternFill patternType="solid">
        <fgColor rgb="00BF9000"/>
      </patternFill>
    </fill>
    <fill>
      <patternFill patternType="solid">
        <fgColor rgb="00C00000"/>
      </patternFill>
    </fill>
    <fill>
      <patternFill patternType="solid">
        <fgColor rgb="00666666"/>
      </patternFill>
    </fill>
    <fill>
      <patternFill patternType="solid">
        <fgColor rgb="00FFF2CC"/>
      </patternFill>
    </fill>
    <fill>
      <patternFill patternType="solid">
        <fgColor rgb="00FFF7F4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2">
    <xf numFmtId="0" fontId="0" fillId="0" borderId="0"/>
    <xf numFmtId="0" fontId="1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13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0" fontId="12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Q6" authorId="0" shapeId="0">
      <text>
        <t>各計算能力値の10%を能力ごとに切り上げた値です。</t>
      </text>
    </comment>
    <comment ref="W6" authorId="0" shapeId="0">
      <text>
        <t>ここからAB列までが実機入力欄です。6能力すべて入力すると比較結果が確定します。</t>
      </text>
    </comment>
  </commentList>
</comments>
</file>

<file path=xl/tables/table1.xml><?xml version="1.0" encoding="utf-8"?>
<table xmlns="http://schemas.openxmlformats.org/spreadsheetml/2006/main" id="1" name="TemplateComparison" displayName="TemplateComparison" ref="A6:AL726" headerRowCount="1">
  <autoFilter ref="A6:AL726"/>
  <tableColumns count="38">
    <tableColumn id="1" name="case_id"/>
    <tableColumn id="2" name="style_id"/>
    <tableColumn id="3" name="style_label"/>
    <tableColumn id="4" name="character_label"/>
    <tableColumn id="5" name="character_name"/>
    <tableColumn id="6" name="style_name"/>
    <tableColumn id="7" name="tier"/>
    <tableColumn id="8" name="role"/>
    <tableColumn id="9" name="limit_break"/>
    <tableColumn id="10" name="limit_break_max"/>
    <tableColumn id="11" name="計算_STR"/>
    <tableColumn id="12" name="計算_DEX"/>
    <tableColumn id="13" name="計算_WIS"/>
    <tableColumn id="14" name="計算_SPR"/>
    <tableColumn id="15" name="計算_LUK"/>
    <tableColumn id="16" name="計算_CON"/>
    <tableColumn id="17" name="サポート10%加算_STR"/>
    <tableColumn id="18" name="サポート10%加算_DEX"/>
    <tableColumn id="19" name="サポート10%加算_WIS"/>
    <tableColumn id="20" name="サポート10%加算_SPR"/>
    <tableColumn id="21" name="サポート10%加算_LUK"/>
    <tableColumn id="22" name="サポート10%加算_CON"/>
    <tableColumn id="23" name="実機_STR"/>
    <tableColumn id="24" name="実機_DEX"/>
    <tableColumn id="25" name="実機_WIS"/>
    <tableColumn id="26" name="実機_SPR"/>
    <tableColumn id="27" name="実機_LUK"/>
    <tableColumn id="28" name="実機_CON"/>
    <tableColumn id="29" name="差分_実機-計算_STR"/>
    <tableColumn id="30" name="差分_実機-計算_DEX"/>
    <tableColumn id="31" name="差分_実機-計算_WIS"/>
    <tableColumn id="32" name="差分_実機-計算_SPR"/>
    <tableColumn id="33" name="差分_実機-計算_LUK"/>
    <tableColumn id="34" name="差分_実機-計算_CON"/>
    <tableColumn id="35" name="比較結果"/>
    <tableColumn id="36" name="計算前提"/>
    <tableColumn id="37" name="実機確認メモ"/>
    <tableColumn id="38" name="生成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fs-heaven-burns-red.zendesk.com/hc/ja/articles/48890914006553-%E3%82%B5%E3%83%9D%E3%83%BC%E3%83%88%E6%9E%A0" TargetMode="External" Id="rId1" /><Relationship Type="http://schemas.openxmlformats.org/officeDocument/2006/relationships/hyperlink" Target="https://note.com/harumigg/n/nc897f0cac64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726"/>
  <sheetViews>
    <sheetView showGridLines="0" workbookViewId="0">
      <pane xSplit="10" ySplit="6" topLeftCell="K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8" customWidth="1" min="4" max="4"/>
    <col width="16" customWidth="1" min="5" max="5"/>
    <col width="34" customWidth="1" min="6" max="6"/>
    <col width="8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3" customWidth="1" min="35" max="35"/>
    <col width="62" customWidth="1" min="36" max="36"/>
    <col width="28" customWidth="1" min="37" max="37"/>
    <col width="13" customWidth="1" min="38" max="38"/>
  </cols>
  <sheetData>
    <row r="1" ht="30" customHeight="1">
      <c r="A1" s="1" t="inlineStr">
        <is>
          <t>テンプレート① 実機ステータス比較（全360スタイル × LB0/最大LB）</t>
        </is>
      </c>
    </row>
    <row r="2">
      <c r="A2" s="2" t="inlineStr">
        <is>
          <t>全ケース</t>
        </is>
      </c>
      <c r="B2" s="3" t="n">
        <v>720</v>
      </c>
      <c r="D2" s="2" t="inlineStr">
        <is>
          <t>実機入力完了</t>
        </is>
      </c>
      <c r="E2" s="3">
        <f>COUNTIF(TemplateComparison[比較結果],"一致")+COUNTIF(TemplateComparison[比較結果],"差分あり")</f>
        <v/>
      </c>
      <c r="G2" s="2" t="inlineStr">
        <is>
          <t>一致</t>
        </is>
      </c>
      <c r="H2" s="3">
        <f>COUNTIF(TemplateComparison[比較結果],"一致")</f>
        <v/>
      </c>
      <c r="J2" s="2" t="inlineStr">
        <is>
          <t>差分あり</t>
        </is>
      </c>
      <c r="K2" s="3">
        <f>COUNTIF(TemplateComparison[比較結果],"差分あり")</f>
        <v/>
      </c>
    </row>
    <row r="3" ht="32" customHeight="1">
      <c r="A3" s="4" t="inlineStr">
        <is>
          <t>黄色の「実機_*」6列へ値を入力してください。差分と比較結果は自動計算されます。サポート使用時は、該当サポート行の「サポート10%加算_*」をメイン自動値へ加算します。</t>
        </is>
      </c>
    </row>
    <row r="5" ht="24" customHeight="1">
      <c r="A5" s="5" t="inlineStr">
        <is>
          <t>識別・条件</t>
        </is>
      </c>
      <c r="K5" s="6" t="inlineStr">
        <is>
          <t>テンプレート① 計算値</t>
        </is>
      </c>
      <c r="Q5" s="7" t="inlineStr">
        <is>
          <t>サポート10%加算（切り上げ）</t>
        </is>
      </c>
      <c r="W5" s="8" t="inlineStr">
        <is>
          <t>実機入力欄</t>
        </is>
      </c>
      <c r="AC5" s="9" t="inlineStr">
        <is>
          <t>差分（実機－計算）</t>
        </is>
      </c>
      <c r="AI5" s="10" t="inlineStr">
        <is>
          <t>判定・前提・メモ</t>
        </is>
      </c>
    </row>
    <row r="6" ht="42" customHeight="1">
      <c r="A6" s="11" t="inlineStr">
        <is>
          <t>case_id</t>
        </is>
      </c>
      <c r="B6" s="11" t="inlineStr">
        <is>
          <t>style_id</t>
        </is>
      </c>
      <c r="C6" s="11" t="inlineStr">
        <is>
          <t>style_label</t>
        </is>
      </c>
      <c r="D6" s="11" t="inlineStr">
        <is>
          <t>character_label</t>
        </is>
      </c>
      <c r="E6" s="11" t="inlineStr">
        <is>
          <t>character_name</t>
        </is>
      </c>
      <c r="F6" s="11" t="inlineStr">
        <is>
          <t>style_name</t>
        </is>
      </c>
      <c r="G6" s="11" t="inlineStr">
        <is>
          <t>tier</t>
        </is>
      </c>
      <c r="H6" s="11" t="inlineStr">
        <is>
          <t>role</t>
        </is>
      </c>
      <c r="I6" s="11" t="inlineStr">
        <is>
          <t>limit_break</t>
        </is>
      </c>
      <c r="J6" s="11" t="inlineStr">
        <is>
          <t>limit_break_max</t>
        </is>
      </c>
      <c r="K6" s="12" t="inlineStr">
        <is>
          <t>計算_STR</t>
        </is>
      </c>
      <c r="L6" s="12" t="inlineStr">
        <is>
          <t>計算_DEX</t>
        </is>
      </c>
      <c r="M6" s="12" t="inlineStr">
        <is>
          <t>計算_WIS</t>
        </is>
      </c>
      <c r="N6" s="12" t="inlineStr">
        <is>
          <t>計算_SPR</t>
        </is>
      </c>
      <c r="O6" s="12" t="inlineStr">
        <is>
          <t>計算_LUK</t>
        </is>
      </c>
      <c r="P6" s="12" t="inlineStr">
        <is>
          <t>計算_CON</t>
        </is>
      </c>
      <c r="Q6" s="13" t="inlineStr">
        <is>
          <t>サポート10%加算_STR</t>
        </is>
      </c>
      <c r="R6" s="13" t="inlineStr">
        <is>
          <t>サポート10%加算_DEX</t>
        </is>
      </c>
      <c r="S6" s="13" t="inlineStr">
        <is>
          <t>サポート10%加算_WIS</t>
        </is>
      </c>
      <c r="T6" s="13" t="inlineStr">
        <is>
          <t>サポート10%加算_SPR</t>
        </is>
      </c>
      <c r="U6" s="13" t="inlineStr">
        <is>
          <t>サポート10%加算_LUK</t>
        </is>
      </c>
      <c r="V6" s="13" t="inlineStr">
        <is>
          <t>サポート10%加算_CON</t>
        </is>
      </c>
      <c r="W6" s="14" t="inlineStr">
        <is>
          <t>実機_STR</t>
        </is>
      </c>
      <c r="X6" s="14" t="inlineStr">
        <is>
          <t>実機_DEX</t>
        </is>
      </c>
      <c r="Y6" s="14" t="inlineStr">
        <is>
          <t>実機_WIS</t>
        </is>
      </c>
      <c r="Z6" s="14" t="inlineStr">
        <is>
          <t>実機_SPR</t>
        </is>
      </c>
      <c r="AA6" s="14" t="inlineStr">
        <is>
          <t>実機_LUK</t>
        </is>
      </c>
      <c r="AB6" s="14" t="inlineStr">
        <is>
          <t>実機_CON</t>
        </is>
      </c>
      <c r="AC6" s="15" t="inlineStr">
        <is>
          <t>差分_実機-計算_STR</t>
        </is>
      </c>
      <c r="AD6" s="15" t="inlineStr">
        <is>
          <t>差分_実機-計算_DEX</t>
        </is>
      </c>
      <c r="AE6" s="15" t="inlineStr">
        <is>
          <t>差分_実機-計算_WIS</t>
        </is>
      </c>
      <c r="AF6" s="15" t="inlineStr">
        <is>
          <t>差分_実機-計算_SPR</t>
        </is>
      </c>
      <c r="AG6" s="15" t="inlineStr">
        <is>
          <t>差分_実機-計算_LUK</t>
        </is>
      </c>
      <c r="AH6" s="15" t="inlineStr">
        <is>
          <t>差分_実機-計算_CON</t>
        </is>
      </c>
      <c r="AI6" s="16" t="inlineStr">
        <is>
          <t>比較結果</t>
        </is>
      </c>
      <c r="AJ6" s="16" t="inlineStr">
        <is>
          <t>計算前提</t>
        </is>
      </c>
      <c r="AK6" s="16" t="inlineStr">
        <is>
          <t>実機確認メモ</t>
        </is>
      </c>
      <c r="AL6" s="16" t="inlineStr">
        <is>
          <t>生成日</t>
        </is>
      </c>
    </row>
    <row r="7" ht="22" customHeight="1">
      <c r="A7" s="17" t="inlineStr">
        <is>
          <t>1001101-LB0</t>
        </is>
      </c>
      <c r="B7" s="18" t="n">
        <v>1001101</v>
      </c>
      <c r="C7" s="17" t="inlineStr">
        <is>
          <t>RKayamori01</t>
        </is>
      </c>
      <c r="D7" s="17" t="inlineStr">
        <is>
          <t>RKayamori</t>
        </is>
      </c>
      <c r="E7" s="17" t="inlineStr">
        <is>
          <t>茅森 月歌</t>
        </is>
      </c>
      <c r="F7" s="19" t="inlineStr">
        <is>
          <t>Attack or Music</t>
        </is>
      </c>
      <c r="G7" s="18" t="inlineStr">
        <is>
          <t>A</t>
        </is>
      </c>
      <c r="H7" s="17" t="inlineStr">
        <is>
          <t>Attacker</t>
        </is>
      </c>
      <c r="I7" s="18" t="n">
        <v>0</v>
      </c>
      <c r="J7" s="18" t="n">
        <v>20</v>
      </c>
      <c r="K7" s="18" t="n">
        <v>299</v>
      </c>
      <c r="L7" s="18" t="n">
        <v>279</v>
      </c>
      <c r="M7" s="18" t="n">
        <v>293</v>
      </c>
      <c r="N7" s="18" t="n">
        <v>298</v>
      </c>
      <c r="O7" s="18" t="n">
        <v>243</v>
      </c>
      <c r="P7" s="18" t="n">
        <v>256</v>
      </c>
      <c r="Q7" s="18" t="n">
        <v>30</v>
      </c>
      <c r="R7" s="18" t="n">
        <v>28</v>
      </c>
      <c r="S7" s="18" t="n">
        <v>30</v>
      </c>
      <c r="T7" s="18" t="n">
        <v>30</v>
      </c>
      <c r="U7" s="18" t="n">
        <v>25</v>
      </c>
      <c r="V7" s="18" t="n">
        <v>26</v>
      </c>
      <c r="W7" s="20" t="n"/>
      <c r="X7" s="20" t="n"/>
      <c r="Y7" s="20" t="n"/>
      <c r="Z7" s="20" t="n"/>
      <c r="AA7" s="20" t="n"/>
      <c r="AB7" s="20" t="n"/>
      <c r="AC7" s="21">
        <f>IF(W7="","",W7-K7)</f>
        <v/>
      </c>
      <c r="AD7" s="21">
        <f>IF(X7="","",X7-L7)</f>
        <v/>
      </c>
      <c r="AE7" s="21">
        <f>IF(Y7="","",Y7-M7)</f>
        <v/>
      </c>
      <c r="AF7" s="21">
        <f>IF(Z7="","",Z7-N7)</f>
        <v/>
      </c>
      <c r="AG7" s="21">
        <f>IF(AA7="","",AA7-O7)</f>
        <v/>
      </c>
      <c r="AH7" s="21">
        <f>IF(AB7="","",AB7-P7)</f>
        <v/>
      </c>
      <c r="AI7" s="18">
        <f>IF(COUNTA(W7:AB7)=0,"未入力",IF(COUNTA(W7:AB7)&lt;6,"一部入力",IF(COUNTIF(AC7:AH7,0)=6,"一致","差分あり")))</f>
        <v/>
      </c>
      <c r="AJ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" s="19" t="inlineStr"/>
      <c r="AL7" s="18" t="inlineStr">
        <is>
          <t>2026-06-29</t>
        </is>
      </c>
    </row>
    <row r="8" ht="22" customHeight="1">
      <c r="A8" s="17" t="inlineStr">
        <is>
          <t>1001101-LB20</t>
        </is>
      </c>
      <c r="B8" s="18" t="n">
        <v>1001101</v>
      </c>
      <c r="C8" s="17" t="inlineStr">
        <is>
          <t>RKayamori01</t>
        </is>
      </c>
      <c r="D8" s="17" t="inlineStr">
        <is>
          <t>RKayamori</t>
        </is>
      </c>
      <c r="E8" s="17" t="inlineStr">
        <is>
          <t>茅森 月歌</t>
        </is>
      </c>
      <c r="F8" s="19" t="inlineStr">
        <is>
          <t>Attack or Music</t>
        </is>
      </c>
      <c r="G8" s="18" t="inlineStr">
        <is>
          <t>A</t>
        </is>
      </c>
      <c r="H8" s="17" t="inlineStr">
        <is>
          <t>Attacker</t>
        </is>
      </c>
      <c r="I8" s="18" t="n">
        <v>20</v>
      </c>
      <c r="J8" s="18" t="n">
        <v>20</v>
      </c>
      <c r="K8" s="18" t="n">
        <v>346</v>
      </c>
      <c r="L8" s="18" t="n">
        <v>323</v>
      </c>
      <c r="M8" s="18" t="n">
        <v>338</v>
      </c>
      <c r="N8" s="18" t="n">
        <v>343</v>
      </c>
      <c r="O8" s="18" t="n">
        <v>286</v>
      </c>
      <c r="P8" s="18" t="n">
        <v>302</v>
      </c>
      <c r="Q8" s="18" t="n">
        <v>35</v>
      </c>
      <c r="R8" s="18" t="n">
        <v>33</v>
      </c>
      <c r="S8" s="18" t="n">
        <v>34</v>
      </c>
      <c r="T8" s="18" t="n">
        <v>35</v>
      </c>
      <c r="U8" s="18" t="n">
        <v>29</v>
      </c>
      <c r="V8" s="18" t="n">
        <v>31</v>
      </c>
      <c r="W8" s="20" t="n"/>
      <c r="X8" s="20" t="n"/>
      <c r="Y8" s="20" t="n"/>
      <c r="Z8" s="20" t="n"/>
      <c r="AA8" s="20" t="n"/>
      <c r="AB8" s="20" t="n"/>
      <c r="AC8" s="21">
        <f>IF(W8="","",W8-K8)</f>
        <v/>
      </c>
      <c r="AD8" s="21">
        <f>IF(X8="","",X8-L8)</f>
        <v/>
      </c>
      <c r="AE8" s="21">
        <f>IF(Y8="","",Y8-M8)</f>
        <v/>
      </c>
      <c r="AF8" s="21">
        <f>IF(Z8="","",Z8-N8)</f>
        <v/>
      </c>
      <c r="AG8" s="21">
        <f>IF(AA8="","",AA8-O8)</f>
        <v/>
      </c>
      <c r="AH8" s="21">
        <f>IF(AB8="","",AB8-P8)</f>
        <v/>
      </c>
      <c r="AI8" s="18">
        <f>IF(COUNTA(W8:AB8)=0,"未入力",IF(COUNTA(W8:AB8)&lt;6,"一部入力",IF(COUNTIF(AC8:AH8,0)=6,"一致","差分あり")))</f>
        <v/>
      </c>
      <c r="AJ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" s="19" t="inlineStr"/>
      <c r="AL8" s="18" t="inlineStr">
        <is>
          <t>2026-06-29</t>
        </is>
      </c>
    </row>
    <row r="9" ht="22" customHeight="1">
      <c r="A9" s="17" t="inlineStr">
        <is>
          <t>1001102-LB0</t>
        </is>
      </c>
      <c r="B9" s="18" t="n">
        <v>1001102</v>
      </c>
      <c r="C9" s="17" t="inlineStr">
        <is>
          <t>RKayamori02</t>
        </is>
      </c>
      <c r="D9" s="17" t="inlineStr">
        <is>
          <t>RKayamori</t>
        </is>
      </c>
      <c r="E9" s="17" t="inlineStr">
        <is>
          <t>茅森 月歌</t>
        </is>
      </c>
      <c r="F9" s="19" t="inlineStr">
        <is>
          <t>戦場のフレット</t>
        </is>
      </c>
      <c r="G9" s="18" t="inlineStr">
        <is>
          <t>S</t>
        </is>
      </c>
      <c r="H9" s="17" t="inlineStr">
        <is>
          <t>Attacker</t>
        </is>
      </c>
      <c r="I9" s="18" t="n">
        <v>0</v>
      </c>
      <c r="J9" s="18" t="n">
        <v>10</v>
      </c>
      <c r="K9" s="18" t="n">
        <v>327</v>
      </c>
      <c r="L9" s="18" t="n">
        <v>347</v>
      </c>
      <c r="M9" s="18" t="n">
        <v>321</v>
      </c>
      <c r="N9" s="18" t="n">
        <v>314</v>
      </c>
      <c r="O9" s="18" t="n">
        <v>345</v>
      </c>
      <c r="P9" s="18" t="n">
        <v>329</v>
      </c>
      <c r="Q9" s="18" t="n">
        <v>33</v>
      </c>
      <c r="R9" s="18" t="n">
        <v>35</v>
      </c>
      <c r="S9" s="18" t="n">
        <v>33</v>
      </c>
      <c r="T9" s="18" t="n">
        <v>32</v>
      </c>
      <c r="U9" s="18" t="n">
        <v>35</v>
      </c>
      <c r="V9" s="18" t="n">
        <v>33</v>
      </c>
      <c r="W9" s="20" t="n"/>
      <c r="X9" s="20" t="n"/>
      <c r="Y9" s="20" t="n"/>
      <c r="Z9" s="20" t="n"/>
      <c r="AA9" s="20" t="n"/>
      <c r="AB9" s="20" t="n"/>
      <c r="AC9" s="21">
        <f>IF(W9="","",W9-K9)</f>
        <v/>
      </c>
      <c r="AD9" s="21">
        <f>IF(X9="","",X9-L9)</f>
        <v/>
      </c>
      <c r="AE9" s="21">
        <f>IF(Y9="","",Y9-M9)</f>
        <v/>
      </c>
      <c r="AF9" s="21">
        <f>IF(Z9="","",Z9-N9)</f>
        <v/>
      </c>
      <c r="AG9" s="21">
        <f>IF(AA9="","",AA9-O9)</f>
        <v/>
      </c>
      <c r="AH9" s="21">
        <f>IF(AB9="","",AB9-P9)</f>
        <v/>
      </c>
      <c r="AI9" s="18">
        <f>IF(COUNTA(W9:AB9)=0,"未入力",IF(COUNTA(W9:AB9)&lt;6,"一部入力",IF(COUNTIF(AC9:AH9,0)=6,"一致","差分あり")))</f>
        <v/>
      </c>
      <c r="AJ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" s="19" t="inlineStr"/>
      <c r="AL9" s="18" t="inlineStr">
        <is>
          <t>2026-06-29</t>
        </is>
      </c>
    </row>
    <row r="10" ht="22" customHeight="1">
      <c r="A10" s="17" t="inlineStr">
        <is>
          <t>1001102-LB10</t>
        </is>
      </c>
      <c r="B10" s="18" t="n">
        <v>1001102</v>
      </c>
      <c r="C10" s="17" t="inlineStr">
        <is>
          <t>RKayamori02</t>
        </is>
      </c>
      <c r="D10" s="17" t="inlineStr">
        <is>
          <t>RKayamori</t>
        </is>
      </c>
      <c r="E10" s="17" t="inlineStr">
        <is>
          <t>茅森 月歌</t>
        </is>
      </c>
      <c r="F10" s="19" t="inlineStr">
        <is>
          <t>戦場のフレット</t>
        </is>
      </c>
      <c r="G10" s="18" t="inlineStr">
        <is>
          <t>S</t>
        </is>
      </c>
      <c r="H10" s="17" t="inlineStr">
        <is>
          <t>Attacker</t>
        </is>
      </c>
      <c r="I10" s="18" t="n">
        <v>10</v>
      </c>
      <c r="J10" s="18" t="n">
        <v>10</v>
      </c>
      <c r="K10" s="18" t="n">
        <v>397</v>
      </c>
      <c r="L10" s="18" t="n">
        <v>416</v>
      </c>
      <c r="M10" s="18" t="n">
        <v>388</v>
      </c>
      <c r="N10" s="18" t="n">
        <v>381</v>
      </c>
      <c r="O10" s="18" t="n">
        <v>410</v>
      </c>
      <c r="P10" s="18" t="n">
        <v>398</v>
      </c>
      <c r="Q10" s="18" t="n">
        <v>40</v>
      </c>
      <c r="R10" s="18" t="n">
        <v>42</v>
      </c>
      <c r="S10" s="18" t="n">
        <v>39</v>
      </c>
      <c r="T10" s="18" t="n">
        <v>39</v>
      </c>
      <c r="U10" s="18" t="n">
        <v>41</v>
      </c>
      <c r="V10" s="18" t="n">
        <v>40</v>
      </c>
      <c r="W10" s="20" t="n"/>
      <c r="X10" s="20" t="n"/>
      <c r="Y10" s="20" t="n"/>
      <c r="Z10" s="20" t="n"/>
      <c r="AA10" s="20" t="n"/>
      <c r="AB10" s="20" t="n"/>
      <c r="AC10" s="21">
        <f>IF(W10="","",W10-K10)</f>
        <v/>
      </c>
      <c r="AD10" s="21">
        <f>IF(X10="","",X10-L10)</f>
        <v/>
      </c>
      <c r="AE10" s="21">
        <f>IF(Y10="","",Y10-M10)</f>
        <v/>
      </c>
      <c r="AF10" s="21">
        <f>IF(Z10="","",Z10-N10)</f>
        <v/>
      </c>
      <c r="AG10" s="21">
        <f>IF(AA10="","",AA10-O10)</f>
        <v/>
      </c>
      <c r="AH10" s="21">
        <f>IF(AB10="","",AB10-P10)</f>
        <v/>
      </c>
      <c r="AI10" s="18">
        <f>IF(COUNTA(W10:AB10)=0,"未入力",IF(COUNTA(W10:AB10)&lt;6,"一部入力",IF(COUNTIF(AC10:AH10,0)=6,"一致","差分あり")))</f>
        <v/>
      </c>
      <c r="AJ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" s="19" t="inlineStr"/>
      <c r="AL10" s="18" t="inlineStr">
        <is>
          <t>2026-06-29</t>
        </is>
      </c>
    </row>
    <row r="11" ht="22" customHeight="1">
      <c r="A11" s="17" t="inlineStr">
        <is>
          <t>1001103-LB0</t>
        </is>
      </c>
      <c r="B11" s="18" t="n">
        <v>1001103</v>
      </c>
      <c r="C11" s="17" t="inlineStr">
        <is>
          <t>RKayamori03</t>
        </is>
      </c>
      <c r="D11" s="17" t="inlineStr">
        <is>
          <t>RKayamori</t>
        </is>
      </c>
      <c r="E11" s="17" t="inlineStr">
        <is>
          <t>茅森 月歌</t>
        </is>
      </c>
      <c r="F11" s="19" t="inlineStr">
        <is>
          <t>閃光のサーキットバースト</t>
        </is>
      </c>
      <c r="G11" s="18" t="inlineStr">
        <is>
          <t>SS</t>
        </is>
      </c>
      <c r="H11" s="17" t="inlineStr">
        <is>
          <t>Attacker</t>
        </is>
      </c>
      <c r="I11" s="18" t="n">
        <v>0</v>
      </c>
      <c r="J11" s="18" t="n">
        <v>4</v>
      </c>
      <c r="K11" s="18" t="n">
        <v>427</v>
      </c>
      <c r="L11" s="18" t="n">
        <v>331</v>
      </c>
      <c r="M11" s="18" t="n">
        <v>357</v>
      </c>
      <c r="N11" s="18" t="n">
        <v>375</v>
      </c>
      <c r="O11" s="18" t="n">
        <v>383</v>
      </c>
      <c r="P11" s="18" t="n">
        <v>370</v>
      </c>
      <c r="Q11" s="18" t="n">
        <v>43</v>
      </c>
      <c r="R11" s="18" t="n">
        <v>34</v>
      </c>
      <c r="S11" s="18" t="n">
        <v>36</v>
      </c>
      <c r="T11" s="18" t="n">
        <v>38</v>
      </c>
      <c r="U11" s="18" t="n">
        <v>39</v>
      </c>
      <c r="V11" s="18" t="n">
        <v>37</v>
      </c>
      <c r="W11" s="20" t="n"/>
      <c r="X11" s="20" t="n"/>
      <c r="Y11" s="20" t="n"/>
      <c r="Z11" s="20" t="n"/>
      <c r="AA11" s="20" t="n"/>
      <c r="AB11" s="20" t="n"/>
      <c r="AC11" s="21">
        <f>IF(W11="","",W11-K11)</f>
        <v/>
      </c>
      <c r="AD11" s="21">
        <f>IF(X11="","",X11-L11)</f>
        <v/>
      </c>
      <c r="AE11" s="21">
        <f>IF(Y11="","",Y11-M11)</f>
        <v/>
      </c>
      <c r="AF11" s="21">
        <f>IF(Z11="","",Z11-N11)</f>
        <v/>
      </c>
      <c r="AG11" s="21">
        <f>IF(AA11="","",AA11-O11)</f>
        <v/>
      </c>
      <c r="AH11" s="21">
        <f>IF(AB11="","",AB11-P11)</f>
        <v/>
      </c>
      <c r="AI11" s="18">
        <f>IF(COUNTA(W11:AB11)=0,"未入力",IF(COUNTA(W11:AB11)&lt;6,"一部入力",IF(COUNTIF(AC11:AH11,0)=6,"一致","差分あり")))</f>
        <v/>
      </c>
      <c r="AJ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" s="19" t="inlineStr"/>
      <c r="AL11" s="18" t="inlineStr">
        <is>
          <t>2026-06-29</t>
        </is>
      </c>
    </row>
    <row r="12" ht="22" customHeight="1">
      <c r="A12" s="17" t="inlineStr">
        <is>
          <t>1001103-LB4</t>
        </is>
      </c>
      <c r="B12" s="18" t="n">
        <v>1001103</v>
      </c>
      <c r="C12" s="17" t="inlineStr">
        <is>
          <t>RKayamori03</t>
        </is>
      </c>
      <c r="D12" s="17" t="inlineStr">
        <is>
          <t>RKayamori</t>
        </is>
      </c>
      <c r="E12" s="17" t="inlineStr">
        <is>
          <t>茅森 月歌</t>
        </is>
      </c>
      <c r="F12" s="19" t="inlineStr">
        <is>
          <t>閃光のサーキットバースト</t>
        </is>
      </c>
      <c r="G12" s="18" t="inlineStr">
        <is>
          <t>SS</t>
        </is>
      </c>
      <c r="H12" s="17" t="inlineStr">
        <is>
          <t>Attacker</t>
        </is>
      </c>
      <c r="I12" s="18" t="n">
        <v>4</v>
      </c>
      <c r="J12" s="18" t="n">
        <v>4</v>
      </c>
      <c r="K12" s="18" t="n">
        <v>465</v>
      </c>
      <c r="L12" s="18" t="n">
        <v>366</v>
      </c>
      <c r="M12" s="18" t="n">
        <v>393</v>
      </c>
      <c r="N12" s="18" t="n">
        <v>411</v>
      </c>
      <c r="O12" s="18" t="n">
        <v>418</v>
      </c>
      <c r="P12" s="18" t="n">
        <v>407</v>
      </c>
      <c r="Q12" s="18" t="n">
        <v>47</v>
      </c>
      <c r="R12" s="18" t="n">
        <v>37</v>
      </c>
      <c r="S12" s="18" t="n">
        <v>40</v>
      </c>
      <c r="T12" s="18" t="n">
        <v>42</v>
      </c>
      <c r="U12" s="18" t="n">
        <v>42</v>
      </c>
      <c r="V12" s="18" t="n">
        <v>41</v>
      </c>
      <c r="W12" s="20" t="n"/>
      <c r="X12" s="20" t="n"/>
      <c r="Y12" s="20" t="n"/>
      <c r="Z12" s="20" t="n"/>
      <c r="AA12" s="20" t="n"/>
      <c r="AB12" s="20" t="n"/>
      <c r="AC12" s="21">
        <f>IF(W12="","",W12-K12)</f>
        <v/>
      </c>
      <c r="AD12" s="21">
        <f>IF(X12="","",X12-L12)</f>
        <v/>
      </c>
      <c r="AE12" s="21">
        <f>IF(Y12="","",Y12-M12)</f>
        <v/>
      </c>
      <c r="AF12" s="21">
        <f>IF(Z12="","",Z12-N12)</f>
        <v/>
      </c>
      <c r="AG12" s="21">
        <f>IF(AA12="","",AA12-O12)</f>
        <v/>
      </c>
      <c r="AH12" s="21">
        <f>IF(AB12="","",AB12-P12)</f>
        <v/>
      </c>
      <c r="AI12" s="18">
        <f>IF(COUNTA(W12:AB12)=0,"未入力",IF(COUNTA(W12:AB12)&lt;6,"一部入力",IF(COUNTIF(AC12:AH12,0)=6,"一致","差分あり")))</f>
        <v/>
      </c>
      <c r="AJ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" s="19" t="inlineStr"/>
      <c r="AL12" s="18" t="inlineStr">
        <is>
          <t>2026-06-29</t>
        </is>
      </c>
    </row>
    <row r="13" ht="22" customHeight="1">
      <c r="A13" s="17" t="inlineStr">
        <is>
          <t>1001104-LB0</t>
        </is>
      </c>
      <c r="B13" s="18" t="n">
        <v>1001104</v>
      </c>
      <c r="C13" s="17" t="inlineStr">
        <is>
          <t>RKayamori04</t>
        </is>
      </c>
      <c r="D13" s="17" t="inlineStr">
        <is>
          <t>RKayamori</t>
        </is>
      </c>
      <c r="E13" s="17" t="inlineStr">
        <is>
          <t>茅森 月歌</t>
        </is>
      </c>
      <c r="F13" s="19" t="inlineStr">
        <is>
          <t>黎明のエモーショナル・ソウル</t>
        </is>
      </c>
      <c r="G13" s="18" t="inlineStr">
        <is>
          <t>SS</t>
        </is>
      </c>
      <c r="H13" s="17" t="inlineStr">
        <is>
          <t>Attacker</t>
        </is>
      </c>
      <c r="I13" s="18" t="n">
        <v>0</v>
      </c>
      <c r="J13" s="18" t="n">
        <v>4</v>
      </c>
      <c r="K13" s="18" t="n">
        <v>439</v>
      </c>
      <c r="L13" s="18" t="n">
        <v>342</v>
      </c>
      <c r="M13" s="18" t="n">
        <v>368</v>
      </c>
      <c r="N13" s="18" t="n">
        <v>386</v>
      </c>
      <c r="O13" s="18" t="n">
        <v>372</v>
      </c>
      <c r="P13" s="18" t="n">
        <v>404</v>
      </c>
      <c r="Q13" s="18" t="n">
        <v>44</v>
      </c>
      <c r="R13" s="18" t="n">
        <v>35</v>
      </c>
      <c r="S13" s="18" t="n">
        <v>37</v>
      </c>
      <c r="T13" s="18" t="n">
        <v>39</v>
      </c>
      <c r="U13" s="18" t="n">
        <v>38</v>
      </c>
      <c r="V13" s="18" t="n">
        <v>41</v>
      </c>
      <c r="W13" s="20" t="n"/>
      <c r="X13" s="20" t="n"/>
      <c r="Y13" s="20" t="n"/>
      <c r="Z13" s="20" t="n"/>
      <c r="AA13" s="20" t="n"/>
      <c r="AB13" s="20" t="n"/>
      <c r="AC13" s="21">
        <f>IF(W13="","",W13-K13)</f>
        <v/>
      </c>
      <c r="AD13" s="21">
        <f>IF(X13="","",X13-L13)</f>
        <v/>
      </c>
      <c r="AE13" s="21">
        <f>IF(Y13="","",Y13-M13)</f>
        <v/>
      </c>
      <c r="AF13" s="21">
        <f>IF(Z13="","",Z13-N13)</f>
        <v/>
      </c>
      <c r="AG13" s="21">
        <f>IF(AA13="","",AA13-O13)</f>
        <v/>
      </c>
      <c r="AH13" s="21">
        <f>IF(AB13="","",AB13-P13)</f>
        <v/>
      </c>
      <c r="AI13" s="18">
        <f>IF(COUNTA(W13:AB13)=0,"未入力",IF(COUNTA(W13:AB13)&lt;6,"一部入力",IF(COUNTIF(AC13:AH13,0)=6,"一致","差分あり")))</f>
        <v/>
      </c>
      <c r="AJ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" s="19" t="inlineStr"/>
      <c r="AL13" s="18" t="inlineStr">
        <is>
          <t>2026-06-29</t>
        </is>
      </c>
    </row>
    <row r="14" ht="22" customHeight="1">
      <c r="A14" s="17" t="inlineStr">
        <is>
          <t>1001104-LB4</t>
        </is>
      </c>
      <c r="B14" s="18" t="n">
        <v>1001104</v>
      </c>
      <c r="C14" s="17" t="inlineStr">
        <is>
          <t>RKayamori04</t>
        </is>
      </c>
      <c r="D14" s="17" t="inlineStr">
        <is>
          <t>RKayamori</t>
        </is>
      </c>
      <c r="E14" s="17" t="inlineStr">
        <is>
          <t>茅森 月歌</t>
        </is>
      </c>
      <c r="F14" s="19" t="inlineStr">
        <is>
          <t>黎明のエモーショナル・ソウル</t>
        </is>
      </c>
      <c r="G14" s="18" t="inlineStr">
        <is>
          <t>SS</t>
        </is>
      </c>
      <c r="H14" s="17" t="inlineStr">
        <is>
          <t>Attacker</t>
        </is>
      </c>
      <c r="I14" s="18" t="n">
        <v>4</v>
      </c>
      <c r="J14" s="18" t="n">
        <v>4</v>
      </c>
      <c r="K14" s="18" t="n">
        <v>533</v>
      </c>
      <c r="L14" s="18" t="n">
        <v>430</v>
      </c>
      <c r="M14" s="18" t="n">
        <v>457</v>
      </c>
      <c r="N14" s="18" t="n">
        <v>476</v>
      </c>
      <c r="O14" s="18" t="n">
        <v>459</v>
      </c>
      <c r="P14" s="18" t="n">
        <v>495</v>
      </c>
      <c r="Q14" s="18" t="n">
        <v>54</v>
      </c>
      <c r="R14" s="18" t="n">
        <v>43</v>
      </c>
      <c r="S14" s="18" t="n">
        <v>46</v>
      </c>
      <c r="T14" s="18" t="n">
        <v>48</v>
      </c>
      <c r="U14" s="18" t="n">
        <v>46</v>
      </c>
      <c r="V14" s="18" t="n">
        <v>50</v>
      </c>
      <c r="W14" s="20" t="n"/>
      <c r="X14" s="20" t="n"/>
      <c r="Y14" s="20" t="n"/>
      <c r="Z14" s="20" t="n"/>
      <c r="AA14" s="20" t="n"/>
      <c r="AB14" s="20" t="n"/>
      <c r="AC14" s="21">
        <f>IF(W14="","",W14-K14)</f>
        <v/>
      </c>
      <c r="AD14" s="21">
        <f>IF(X14="","",X14-L14)</f>
        <v/>
      </c>
      <c r="AE14" s="21">
        <f>IF(Y14="","",Y14-M14)</f>
        <v/>
      </c>
      <c r="AF14" s="21">
        <f>IF(Z14="","",Z14-N14)</f>
        <v/>
      </c>
      <c r="AG14" s="21">
        <f>IF(AA14="","",AA14-O14)</f>
        <v/>
      </c>
      <c r="AH14" s="21">
        <f>IF(AB14="","",AB14-P14)</f>
        <v/>
      </c>
      <c r="AI14" s="18">
        <f>IF(COUNTA(W14:AB14)=0,"未入力",IF(COUNTA(W14:AB14)&lt;6,"一部入力",IF(COUNTIF(AC14:AH14,0)=6,"一致","差分あり")))</f>
        <v/>
      </c>
      <c r="AJ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" s="19" t="inlineStr"/>
      <c r="AL14" s="18" t="inlineStr">
        <is>
          <t>2026-06-29</t>
        </is>
      </c>
    </row>
    <row r="15" ht="22" customHeight="1">
      <c r="A15" s="17" t="inlineStr">
        <is>
          <t>1001105-LB0</t>
        </is>
      </c>
      <c r="B15" s="18" t="n">
        <v>1001105</v>
      </c>
      <c r="C15" s="17" t="inlineStr">
        <is>
          <t>RKayamori05</t>
        </is>
      </c>
      <c r="D15" s="17" t="inlineStr">
        <is>
          <t>RKayamori</t>
        </is>
      </c>
      <c r="E15" s="17" t="inlineStr">
        <is>
          <t>茅森 月歌</t>
        </is>
      </c>
      <c r="F15" s="19" t="inlineStr">
        <is>
          <t>残響のカルディナル</t>
        </is>
      </c>
      <c r="G15" s="18" t="inlineStr">
        <is>
          <t>SS</t>
        </is>
      </c>
      <c r="H15" s="17" t="inlineStr">
        <is>
          <t>Attacker</t>
        </is>
      </c>
      <c r="I15" s="18" t="n">
        <v>0</v>
      </c>
      <c r="J15" s="18" t="n">
        <v>4</v>
      </c>
      <c r="K15" s="18" t="n">
        <v>462</v>
      </c>
      <c r="L15" s="18" t="n">
        <v>364</v>
      </c>
      <c r="M15" s="18" t="n">
        <v>391</v>
      </c>
      <c r="N15" s="18" t="n">
        <v>409</v>
      </c>
      <c r="O15" s="18" t="n">
        <v>394</v>
      </c>
      <c r="P15" s="18" t="n">
        <v>427</v>
      </c>
      <c r="Q15" s="18" t="n">
        <v>47</v>
      </c>
      <c r="R15" s="18" t="n">
        <v>37</v>
      </c>
      <c r="S15" s="18" t="n">
        <v>40</v>
      </c>
      <c r="T15" s="18" t="n">
        <v>41</v>
      </c>
      <c r="U15" s="18" t="n">
        <v>40</v>
      </c>
      <c r="V15" s="18" t="n">
        <v>43</v>
      </c>
      <c r="W15" s="20" t="n"/>
      <c r="X15" s="20" t="n"/>
      <c r="Y15" s="20" t="n"/>
      <c r="Z15" s="20" t="n"/>
      <c r="AA15" s="20" t="n"/>
      <c r="AB15" s="20" t="n"/>
      <c r="AC15" s="21">
        <f>IF(W15="","",W15-K15)</f>
        <v/>
      </c>
      <c r="AD15" s="21">
        <f>IF(X15="","",X15-L15)</f>
        <v/>
      </c>
      <c r="AE15" s="21">
        <f>IF(Y15="","",Y15-M15)</f>
        <v/>
      </c>
      <c r="AF15" s="21">
        <f>IF(Z15="","",Z15-N15)</f>
        <v/>
      </c>
      <c r="AG15" s="21">
        <f>IF(AA15="","",AA15-O15)</f>
        <v/>
      </c>
      <c r="AH15" s="21">
        <f>IF(AB15="","",AB15-P15)</f>
        <v/>
      </c>
      <c r="AI15" s="18">
        <f>IF(COUNTA(W15:AB15)=0,"未入力",IF(COUNTA(W15:AB15)&lt;6,"一部入力",IF(COUNTIF(AC15:AH15,0)=6,"一致","差分あり")))</f>
        <v/>
      </c>
      <c r="AJ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" s="19" t="inlineStr"/>
      <c r="AL15" s="18" t="inlineStr">
        <is>
          <t>2026-06-29</t>
        </is>
      </c>
    </row>
    <row r="16" ht="22" customHeight="1">
      <c r="A16" s="17" t="inlineStr">
        <is>
          <t>1001105-LB4</t>
        </is>
      </c>
      <c r="B16" s="18" t="n">
        <v>1001105</v>
      </c>
      <c r="C16" s="17" t="inlineStr">
        <is>
          <t>RKayamori05</t>
        </is>
      </c>
      <c r="D16" s="17" t="inlineStr">
        <is>
          <t>RKayamori</t>
        </is>
      </c>
      <c r="E16" s="17" t="inlineStr">
        <is>
          <t>茅森 月歌</t>
        </is>
      </c>
      <c r="F16" s="19" t="inlineStr">
        <is>
          <t>残響のカルディナル</t>
        </is>
      </c>
      <c r="G16" s="18" t="inlineStr">
        <is>
          <t>SS</t>
        </is>
      </c>
      <c r="H16" s="17" t="inlineStr">
        <is>
          <t>Attacker</t>
        </is>
      </c>
      <c r="I16" s="18" t="n">
        <v>4</v>
      </c>
      <c r="J16" s="18" t="n">
        <v>4</v>
      </c>
      <c r="K16" s="18" t="n">
        <v>556</v>
      </c>
      <c r="L16" s="18" t="n">
        <v>452</v>
      </c>
      <c r="M16" s="18" t="n">
        <v>479</v>
      </c>
      <c r="N16" s="18" t="n">
        <v>499</v>
      </c>
      <c r="O16" s="18" t="n">
        <v>480</v>
      </c>
      <c r="P16" s="18" t="n">
        <v>518</v>
      </c>
      <c r="Q16" s="18" t="n">
        <v>56</v>
      </c>
      <c r="R16" s="18" t="n">
        <v>46</v>
      </c>
      <c r="S16" s="18" t="n">
        <v>48</v>
      </c>
      <c r="T16" s="18" t="n">
        <v>50</v>
      </c>
      <c r="U16" s="18" t="n">
        <v>48</v>
      </c>
      <c r="V16" s="18" t="n">
        <v>52</v>
      </c>
      <c r="W16" s="20" t="n"/>
      <c r="X16" s="20" t="n"/>
      <c r="Y16" s="20" t="n"/>
      <c r="Z16" s="20" t="n"/>
      <c r="AA16" s="20" t="n"/>
      <c r="AB16" s="20" t="n"/>
      <c r="AC16" s="21">
        <f>IF(W16="","",W16-K16)</f>
        <v/>
      </c>
      <c r="AD16" s="21">
        <f>IF(X16="","",X16-L16)</f>
        <v/>
      </c>
      <c r="AE16" s="21">
        <f>IF(Y16="","",Y16-M16)</f>
        <v/>
      </c>
      <c r="AF16" s="21">
        <f>IF(Z16="","",Z16-N16)</f>
        <v/>
      </c>
      <c r="AG16" s="21">
        <f>IF(AA16="","",AA16-O16)</f>
        <v/>
      </c>
      <c r="AH16" s="21">
        <f>IF(AB16="","",AB16-P16)</f>
        <v/>
      </c>
      <c r="AI16" s="18">
        <f>IF(COUNTA(W16:AB16)=0,"未入力",IF(COUNTA(W16:AB16)&lt;6,"一部入力",IF(COUNTIF(AC16:AH16,0)=6,"一致","差分あり")))</f>
        <v/>
      </c>
      <c r="AJ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" s="19" t="inlineStr"/>
      <c r="AL16" s="18" t="inlineStr">
        <is>
          <t>2026-06-29</t>
        </is>
      </c>
    </row>
    <row r="17" ht="22" customHeight="1">
      <c r="A17" s="17" t="inlineStr">
        <is>
          <t>1001106-LB0</t>
        </is>
      </c>
      <c r="B17" s="18" t="n">
        <v>1001106</v>
      </c>
      <c r="C17" s="17" t="inlineStr">
        <is>
          <t>RKayamori06</t>
        </is>
      </c>
      <c r="D17" s="17" t="inlineStr">
        <is>
          <t>RKayamori</t>
        </is>
      </c>
      <c r="E17" s="17" t="inlineStr">
        <is>
          <t>茅森 月歌</t>
        </is>
      </c>
      <c r="F17" s="19" t="inlineStr">
        <is>
          <t>つかの間の安息</t>
        </is>
      </c>
      <c r="G17" s="18" t="inlineStr">
        <is>
          <t>S</t>
        </is>
      </c>
      <c r="H17" s="17" t="inlineStr">
        <is>
          <t>Attacker</t>
        </is>
      </c>
      <c r="I17" s="18" t="n">
        <v>0</v>
      </c>
      <c r="J17" s="18" t="n">
        <v>10</v>
      </c>
      <c r="K17" s="18" t="n">
        <v>327</v>
      </c>
      <c r="L17" s="18" t="n">
        <v>350</v>
      </c>
      <c r="M17" s="18" t="n">
        <v>321</v>
      </c>
      <c r="N17" s="18" t="n">
        <v>314</v>
      </c>
      <c r="O17" s="18" t="n">
        <v>345</v>
      </c>
      <c r="P17" s="18" t="n">
        <v>329</v>
      </c>
      <c r="Q17" s="18" t="n">
        <v>33</v>
      </c>
      <c r="R17" s="18" t="n">
        <v>35</v>
      </c>
      <c r="S17" s="18" t="n">
        <v>33</v>
      </c>
      <c r="T17" s="18" t="n">
        <v>32</v>
      </c>
      <c r="U17" s="18" t="n">
        <v>35</v>
      </c>
      <c r="V17" s="18" t="n">
        <v>33</v>
      </c>
      <c r="W17" s="20" t="n"/>
      <c r="X17" s="20" t="n"/>
      <c r="Y17" s="20" t="n"/>
      <c r="Z17" s="20" t="n"/>
      <c r="AA17" s="20" t="n"/>
      <c r="AB17" s="20" t="n"/>
      <c r="AC17" s="21">
        <f>IF(W17="","",W17-K17)</f>
        <v/>
      </c>
      <c r="AD17" s="21">
        <f>IF(X17="","",X17-L17)</f>
        <v/>
      </c>
      <c r="AE17" s="21">
        <f>IF(Y17="","",Y17-M17)</f>
        <v/>
      </c>
      <c r="AF17" s="21">
        <f>IF(Z17="","",Z17-N17)</f>
        <v/>
      </c>
      <c r="AG17" s="21">
        <f>IF(AA17="","",AA17-O17)</f>
        <v/>
      </c>
      <c r="AH17" s="21">
        <f>IF(AB17="","",AB17-P17)</f>
        <v/>
      </c>
      <c r="AI17" s="18">
        <f>IF(COUNTA(W17:AB17)=0,"未入力",IF(COUNTA(W17:AB17)&lt;6,"一部入力",IF(COUNTIF(AC17:AH17,0)=6,"一致","差分あり")))</f>
        <v/>
      </c>
      <c r="AJ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" s="19" t="inlineStr"/>
      <c r="AL17" s="18" t="inlineStr">
        <is>
          <t>2026-06-29</t>
        </is>
      </c>
    </row>
    <row r="18" ht="22" customHeight="1">
      <c r="A18" s="17" t="inlineStr">
        <is>
          <t>1001106-LB10</t>
        </is>
      </c>
      <c r="B18" s="18" t="n">
        <v>1001106</v>
      </c>
      <c r="C18" s="17" t="inlineStr">
        <is>
          <t>RKayamori06</t>
        </is>
      </c>
      <c r="D18" s="17" t="inlineStr">
        <is>
          <t>RKayamori</t>
        </is>
      </c>
      <c r="E18" s="17" t="inlineStr">
        <is>
          <t>茅森 月歌</t>
        </is>
      </c>
      <c r="F18" s="19" t="inlineStr">
        <is>
          <t>つかの間の安息</t>
        </is>
      </c>
      <c r="G18" s="18" t="inlineStr">
        <is>
          <t>S</t>
        </is>
      </c>
      <c r="H18" s="17" t="inlineStr">
        <is>
          <t>Attacker</t>
        </is>
      </c>
      <c r="I18" s="18" t="n">
        <v>10</v>
      </c>
      <c r="J18" s="18" t="n">
        <v>10</v>
      </c>
      <c r="K18" s="18" t="n">
        <v>397</v>
      </c>
      <c r="L18" s="18" t="n">
        <v>416</v>
      </c>
      <c r="M18" s="18" t="n">
        <v>388</v>
      </c>
      <c r="N18" s="18" t="n">
        <v>381</v>
      </c>
      <c r="O18" s="18" t="n">
        <v>410</v>
      </c>
      <c r="P18" s="18" t="n">
        <v>398</v>
      </c>
      <c r="Q18" s="18" t="n">
        <v>40</v>
      </c>
      <c r="R18" s="18" t="n">
        <v>42</v>
      </c>
      <c r="S18" s="18" t="n">
        <v>39</v>
      </c>
      <c r="T18" s="18" t="n">
        <v>39</v>
      </c>
      <c r="U18" s="18" t="n">
        <v>41</v>
      </c>
      <c r="V18" s="18" t="n">
        <v>40</v>
      </c>
      <c r="W18" s="20" t="n"/>
      <c r="X18" s="20" t="n"/>
      <c r="Y18" s="20" t="n"/>
      <c r="Z18" s="20" t="n"/>
      <c r="AA18" s="20" t="n"/>
      <c r="AB18" s="20" t="n"/>
      <c r="AC18" s="21">
        <f>IF(W18="","",W18-K18)</f>
        <v/>
      </c>
      <c r="AD18" s="21">
        <f>IF(X18="","",X18-L18)</f>
        <v/>
      </c>
      <c r="AE18" s="21">
        <f>IF(Y18="","",Y18-M18)</f>
        <v/>
      </c>
      <c r="AF18" s="21">
        <f>IF(Z18="","",Z18-N18)</f>
        <v/>
      </c>
      <c r="AG18" s="21">
        <f>IF(AA18="","",AA18-O18)</f>
        <v/>
      </c>
      <c r="AH18" s="21">
        <f>IF(AB18="","",AB18-P18)</f>
        <v/>
      </c>
      <c r="AI18" s="18">
        <f>IF(COUNTA(W18:AB18)=0,"未入力",IF(COUNTA(W18:AB18)&lt;6,"一部入力",IF(COUNTIF(AC18:AH18,0)=6,"一致","差分あり")))</f>
        <v/>
      </c>
      <c r="AJ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" s="19" t="inlineStr"/>
      <c r="AL18" s="18" t="inlineStr">
        <is>
          <t>2026-06-29</t>
        </is>
      </c>
    </row>
    <row r="19" ht="22" customHeight="1">
      <c r="A19" s="17" t="inlineStr">
        <is>
          <t>1001107-LB0</t>
        </is>
      </c>
      <c r="B19" s="18" t="n">
        <v>1001107</v>
      </c>
      <c r="C19" s="17" t="inlineStr">
        <is>
          <t>RKayamori07</t>
        </is>
      </c>
      <c r="D19" s="17" t="inlineStr">
        <is>
          <t>RKayamori</t>
        </is>
      </c>
      <c r="E19" s="17" t="inlineStr">
        <is>
          <t>茅森 月歌</t>
        </is>
      </c>
      <c r="F19" s="19" t="inlineStr">
        <is>
          <t>ナイトクルーズ・エスコート</t>
        </is>
      </c>
      <c r="G19" s="18" t="inlineStr">
        <is>
          <t>SS</t>
        </is>
      </c>
      <c r="H19" s="17" t="inlineStr">
        <is>
          <t>Attacker</t>
        </is>
      </c>
      <c r="I19" s="18" t="n">
        <v>0</v>
      </c>
      <c r="J19" s="18" t="n">
        <v>4</v>
      </c>
      <c r="K19" s="18" t="n">
        <v>462</v>
      </c>
      <c r="L19" s="18" t="n">
        <v>364</v>
      </c>
      <c r="M19" s="18" t="n">
        <v>391</v>
      </c>
      <c r="N19" s="18" t="n">
        <v>409</v>
      </c>
      <c r="O19" s="18" t="n">
        <v>394</v>
      </c>
      <c r="P19" s="18" t="n">
        <v>427</v>
      </c>
      <c r="Q19" s="18" t="n">
        <v>47</v>
      </c>
      <c r="R19" s="18" t="n">
        <v>37</v>
      </c>
      <c r="S19" s="18" t="n">
        <v>40</v>
      </c>
      <c r="T19" s="18" t="n">
        <v>41</v>
      </c>
      <c r="U19" s="18" t="n">
        <v>40</v>
      </c>
      <c r="V19" s="18" t="n">
        <v>43</v>
      </c>
      <c r="W19" s="20" t="n"/>
      <c r="X19" s="20" t="n"/>
      <c r="Y19" s="20" t="n"/>
      <c r="Z19" s="20" t="n"/>
      <c r="AA19" s="20" t="n"/>
      <c r="AB19" s="20" t="n"/>
      <c r="AC19" s="21">
        <f>IF(W19="","",W19-K19)</f>
        <v/>
      </c>
      <c r="AD19" s="21">
        <f>IF(X19="","",X19-L19)</f>
        <v/>
      </c>
      <c r="AE19" s="21">
        <f>IF(Y19="","",Y19-M19)</f>
        <v/>
      </c>
      <c r="AF19" s="21">
        <f>IF(Z19="","",Z19-N19)</f>
        <v/>
      </c>
      <c r="AG19" s="21">
        <f>IF(AA19="","",AA19-O19)</f>
        <v/>
      </c>
      <c r="AH19" s="21">
        <f>IF(AB19="","",AB19-P19)</f>
        <v/>
      </c>
      <c r="AI19" s="18">
        <f>IF(COUNTA(W19:AB19)=0,"未入力",IF(COUNTA(W19:AB19)&lt;6,"一部入力",IF(COUNTIF(AC19:AH19,0)=6,"一致","差分あり")))</f>
        <v/>
      </c>
      <c r="AJ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" s="19" t="inlineStr"/>
      <c r="AL19" s="18" t="inlineStr">
        <is>
          <t>2026-06-29</t>
        </is>
      </c>
    </row>
    <row r="20" ht="22" customHeight="1">
      <c r="A20" s="17" t="inlineStr">
        <is>
          <t>1001107-LB4</t>
        </is>
      </c>
      <c r="B20" s="18" t="n">
        <v>1001107</v>
      </c>
      <c r="C20" s="17" t="inlineStr">
        <is>
          <t>RKayamori07</t>
        </is>
      </c>
      <c r="D20" s="17" t="inlineStr">
        <is>
          <t>RKayamori</t>
        </is>
      </c>
      <c r="E20" s="17" t="inlineStr">
        <is>
          <t>茅森 月歌</t>
        </is>
      </c>
      <c r="F20" s="19" t="inlineStr">
        <is>
          <t>ナイトクルーズ・エスコート</t>
        </is>
      </c>
      <c r="G20" s="18" t="inlineStr">
        <is>
          <t>SS</t>
        </is>
      </c>
      <c r="H20" s="17" t="inlineStr">
        <is>
          <t>Attacker</t>
        </is>
      </c>
      <c r="I20" s="18" t="n">
        <v>4</v>
      </c>
      <c r="J20" s="18" t="n">
        <v>4</v>
      </c>
      <c r="K20" s="18" t="n">
        <v>556</v>
      </c>
      <c r="L20" s="18" t="n">
        <v>452</v>
      </c>
      <c r="M20" s="18" t="n">
        <v>479</v>
      </c>
      <c r="N20" s="18" t="n">
        <v>499</v>
      </c>
      <c r="O20" s="18" t="n">
        <v>480</v>
      </c>
      <c r="P20" s="18" t="n">
        <v>518</v>
      </c>
      <c r="Q20" s="18" t="n">
        <v>56</v>
      </c>
      <c r="R20" s="18" t="n">
        <v>46</v>
      </c>
      <c r="S20" s="18" t="n">
        <v>48</v>
      </c>
      <c r="T20" s="18" t="n">
        <v>50</v>
      </c>
      <c r="U20" s="18" t="n">
        <v>48</v>
      </c>
      <c r="V20" s="18" t="n">
        <v>52</v>
      </c>
      <c r="W20" s="20" t="n"/>
      <c r="X20" s="20" t="n"/>
      <c r="Y20" s="20" t="n"/>
      <c r="Z20" s="20" t="n"/>
      <c r="AA20" s="20" t="n"/>
      <c r="AB20" s="20" t="n"/>
      <c r="AC20" s="21">
        <f>IF(W20="","",W20-K20)</f>
        <v/>
      </c>
      <c r="AD20" s="21">
        <f>IF(X20="","",X20-L20)</f>
        <v/>
      </c>
      <c r="AE20" s="21">
        <f>IF(Y20="","",Y20-M20)</f>
        <v/>
      </c>
      <c r="AF20" s="21">
        <f>IF(Z20="","",Z20-N20)</f>
        <v/>
      </c>
      <c r="AG20" s="21">
        <f>IF(AA20="","",AA20-O20)</f>
        <v/>
      </c>
      <c r="AH20" s="21">
        <f>IF(AB20="","",AB20-P20)</f>
        <v/>
      </c>
      <c r="AI20" s="18">
        <f>IF(COUNTA(W20:AB20)=0,"未入力",IF(COUNTA(W20:AB20)&lt;6,"一部入力",IF(COUNTIF(AC20:AH20,0)=6,"一致","差分あり")))</f>
        <v/>
      </c>
      <c r="AJ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" s="19" t="inlineStr"/>
      <c r="AL20" s="18" t="inlineStr">
        <is>
          <t>2026-06-29</t>
        </is>
      </c>
    </row>
    <row r="21" ht="22" customHeight="1">
      <c r="A21" s="17" t="inlineStr">
        <is>
          <t>1001108-LB0</t>
        </is>
      </c>
      <c r="B21" s="18" t="n">
        <v>1001108</v>
      </c>
      <c r="C21" s="17" t="inlineStr">
        <is>
          <t>RKayamori08</t>
        </is>
      </c>
      <c r="D21" s="17" t="inlineStr">
        <is>
          <t>RKayamori</t>
        </is>
      </c>
      <c r="E21" s="17" t="inlineStr">
        <is>
          <t>茅森 月歌</t>
        </is>
      </c>
      <c r="F21" s="19" t="inlineStr">
        <is>
          <t>The Feel of the Throne</t>
        </is>
      </c>
      <c r="G21" s="18" t="inlineStr">
        <is>
          <t>SSR</t>
        </is>
      </c>
      <c r="H21" s="17" t="inlineStr">
        <is>
          <t>Attacker</t>
        </is>
      </c>
      <c r="I21" s="18" t="n">
        <v>0</v>
      </c>
      <c r="J21" s="18" t="n">
        <v>4</v>
      </c>
      <c r="K21" s="18" t="n">
        <v>462</v>
      </c>
      <c r="L21" s="18" t="n">
        <v>364</v>
      </c>
      <c r="M21" s="18" t="n">
        <v>391</v>
      </c>
      <c r="N21" s="18" t="n">
        <v>409</v>
      </c>
      <c r="O21" s="18" t="n">
        <v>394</v>
      </c>
      <c r="P21" s="18" t="n">
        <v>427</v>
      </c>
      <c r="Q21" s="18" t="n">
        <v>47</v>
      </c>
      <c r="R21" s="18" t="n">
        <v>37</v>
      </c>
      <c r="S21" s="18" t="n">
        <v>40</v>
      </c>
      <c r="T21" s="18" t="n">
        <v>41</v>
      </c>
      <c r="U21" s="18" t="n">
        <v>40</v>
      </c>
      <c r="V21" s="18" t="n">
        <v>43</v>
      </c>
      <c r="W21" s="20" t="n"/>
      <c r="X21" s="20" t="n"/>
      <c r="Y21" s="20" t="n"/>
      <c r="Z21" s="20" t="n"/>
      <c r="AA21" s="20" t="n"/>
      <c r="AB21" s="20" t="n"/>
      <c r="AC21" s="21">
        <f>IF(W21="","",W21-K21)</f>
        <v/>
      </c>
      <c r="AD21" s="21">
        <f>IF(X21="","",X21-L21)</f>
        <v/>
      </c>
      <c r="AE21" s="21">
        <f>IF(Y21="","",Y21-M21)</f>
        <v/>
      </c>
      <c r="AF21" s="21">
        <f>IF(Z21="","",Z21-N21)</f>
        <v/>
      </c>
      <c r="AG21" s="21">
        <f>IF(AA21="","",AA21-O21)</f>
        <v/>
      </c>
      <c r="AH21" s="21">
        <f>IF(AB21="","",AB21-P21)</f>
        <v/>
      </c>
      <c r="AI21" s="18">
        <f>IF(COUNTA(W21:AB21)=0,"未入力",IF(COUNTA(W21:AB21)&lt;6,"一部入力",IF(COUNTIF(AC21:AH21,0)=6,"一致","差分あり")))</f>
        <v/>
      </c>
      <c r="AJ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" s="19" t="inlineStr"/>
      <c r="AL21" s="18" t="inlineStr">
        <is>
          <t>2026-06-29</t>
        </is>
      </c>
    </row>
    <row r="22" ht="22" customHeight="1">
      <c r="A22" s="17" t="inlineStr">
        <is>
          <t>1001108-LB4</t>
        </is>
      </c>
      <c r="B22" s="18" t="n">
        <v>1001108</v>
      </c>
      <c r="C22" s="17" t="inlineStr">
        <is>
          <t>RKayamori08</t>
        </is>
      </c>
      <c r="D22" s="17" t="inlineStr">
        <is>
          <t>RKayamori</t>
        </is>
      </c>
      <c r="E22" s="17" t="inlineStr">
        <is>
          <t>茅森 月歌</t>
        </is>
      </c>
      <c r="F22" s="19" t="inlineStr">
        <is>
          <t>The Feel of the Throne</t>
        </is>
      </c>
      <c r="G22" s="18" t="inlineStr">
        <is>
          <t>SSR</t>
        </is>
      </c>
      <c r="H22" s="17" t="inlineStr">
        <is>
          <t>Attacker</t>
        </is>
      </c>
      <c r="I22" s="18" t="n">
        <v>4</v>
      </c>
      <c r="J22" s="18" t="n">
        <v>4</v>
      </c>
      <c r="K22" s="18" t="n">
        <v>556</v>
      </c>
      <c r="L22" s="18" t="n">
        <v>452</v>
      </c>
      <c r="M22" s="18" t="n">
        <v>479</v>
      </c>
      <c r="N22" s="18" t="n">
        <v>499</v>
      </c>
      <c r="O22" s="18" t="n">
        <v>480</v>
      </c>
      <c r="P22" s="18" t="n">
        <v>518</v>
      </c>
      <c r="Q22" s="18" t="n">
        <v>56</v>
      </c>
      <c r="R22" s="18" t="n">
        <v>46</v>
      </c>
      <c r="S22" s="18" t="n">
        <v>48</v>
      </c>
      <c r="T22" s="18" t="n">
        <v>50</v>
      </c>
      <c r="U22" s="18" t="n">
        <v>48</v>
      </c>
      <c r="V22" s="18" t="n">
        <v>52</v>
      </c>
      <c r="W22" s="20" t="n"/>
      <c r="X22" s="20" t="n"/>
      <c r="Y22" s="20" t="n"/>
      <c r="Z22" s="20" t="n"/>
      <c r="AA22" s="20" t="n"/>
      <c r="AB22" s="20" t="n"/>
      <c r="AC22" s="21">
        <f>IF(W22="","",W22-K22)</f>
        <v/>
      </c>
      <c r="AD22" s="21">
        <f>IF(X22="","",X22-L22)</f>
        <v/>
      </c>
      <c r="AE22" s="21">
        <f>IF(Y22="","",Y22-M22)</f>
        <v/>
      </c>
      <c r="AF22" s="21">
        <f>IF(Z22="","",Z22-N22)</f>
        <v/>
      </c>
      <c r="AG22" s="21">
        <f>IF(AA22="","",AA22-O22)</f>
        <v/>
      </c>
      <c r="AH22" s="21">
        <f>IF(AB22="","",AB22-P22)</f>
        <v/>
      </c>
      <c r="AI22" s="18">
        <f>IF(COUNTA(W22:AB22)=0,"未入力",IF(COUNTA(W22:AB22)&lt;6,"一部入力",IF(COUNTIF(AC22:AH22,0)=6,"一致","差分あり")))</f>
        <v/>
      </c>
      <c r="AJ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" s="19" t="inlineStr"/>
      <c r="AL22" s="18" t="inlineStr">
        <is>
          <t>2026-06-29</t>
        </is>
      </c>
    </row>
    <row r="23" ht="22" customHeight="1">
      <c r="A23" s="17" t="inlineStr">
        <is>
          <t>1001109-LB0</t>
        </is>
      </c>
      <c r="B23" s="18" t="n">
        <v>1001109</v>
      </c>
      <c r="C23" s="17" t="inlineStr">
        <is>
          <t>RKayamori09</t>
        </is>
      </c>
      <c r="D23" s="17" t="inlineStr">
        <is>
          <t>RKayamori</t>
        </is>
      </c>
      <c r="E23" s="17" t="inlineStr">
        <is>
          <t>茅森 月歌</t>
        </is>
      </c>
      <c r="F23" s="19" t="inlineStr">
        <is>
          <t>白き華の歌姫</t>
        </is>
      </c>
      <c r="G23" s="18" t="inlineStr">
        <is>
          <t>SS</t>
        </is>
      </c>
      <c r="H23" s="17" t="inlineStr">
        <is>
          <t>Buffer</t>
        </is>
      </c>
      <c r="I23" s="18" t="n">
        <v>0</v>
      </c>
      <c r="J23" s="18" t="n">
        <v>4</v>
      </c>
      <c r="K23" s="18" t="n">
        <v>425</v>
      </c>
      <c r="L23" s="18" t="n">
        <v>399</v>
      </c>
      <c r="M23" s="18" t="n">
        <v>439</v>
      </c>
      <c r="N23" s="18" t="n">
        <v>422</v>
      </c>
      <c r="O23" s="18" t="n">
        <v>381</v>
      </c>
      <c r="P23" s="18" t="n">
        <v>377</v>
      </c>
      <c r="Q23" s="18" t="n">
        <v>43</v>
      </c>
      <c r="R23" s="18" t="n">
        <v>40</v>
      </c>
      <c r="S23" s="18" t="n">
        <v>44</v>
      </c>
      <c r="T23" s="18" t="n">
        <v>43</v>
      </c>
      <c r="U23" s="18" t="n">
        <v>39</v>
      </c>
      <c r="V23" s="18" t="n">
        <v>38</v>
      </c>
      <c r="W23" s="20" t="n"/>
      <c r="X23" s="20" t="n"/>
      <c r="Y23" s="20" t="n"/>
      <c r="Z23" s="20" t="n"/>
      <c r="AA23" s="20" t="n"/>
      <c r="AB23" s="20" t="n"/>
      <c r="AC23" s="21">
        <f>IF(W23="","",W23-K23)</f>
        <v/>
      </c>
      <c r="AD23" s="21">
        <f>IF(X23="","",X23-L23)</f>
        <v/>
      </c>
      <c r="AE23" s="21">
        <f>IF(Y23="","",Y23-M23)</f>
        <v/>
      </c>
      <c r="AF23" s="21">
        <f>IF(Z23="","",Z23-N23)</f>
        <v/>
      </c>
      <c r="AG23" s="21">
        <f>IF(AA23="","",AA23-O23)</f>
        <v/>
      </c>
      <c r="AH23" s="21">
        <f>IF(AB23="","",AB23-P23)</f>
        <v/>
      </c>
      <c r="AI23" s="18">
        <f>IF(COUNTA(W23:AB23)=0,"未入力",IF(COUNTA(W23:AB23)&lt;6,"一部入力",IF(COUNTIF(AC23:AH23,0)=6,"一致","差分あり")))</f>
        <v/>
      </c>
      <c r="AJ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" s="19" t="inlineStr"/>
      <c r="AL23" s="18" t="inlineStr">
        <is>
          <t>2026-06-29</t>
        </is>
      </c>
    </row>
    <row r="24" ht="22" customHeight="1">
      <c r="A24" s="17" t="inlineStr">
        <is>
          <t>1001109-LB4</t>
        </is>
      </c>
      <c r="B24" s="18" t="n">
        <v>1001109</v>
      </c>
      <c r="C24" s="17" t="inlineStr">
        <is>
          <t>RKayamori09</t>
        </is>
      </c>
      <c r="D24" s="17" t="inlineStr">
        <is>
          <t>RKayamori</t>
        </is>
      </c>
      <c r="E24" s="17" t="inlineStr">
        <is>
          <t>茅森 月歌</t>
        </is>
      </c>
      <c r="F24" s="19" t="inlineStr">
        <is>
          <t>白き華の歌姫</t>
        </is>
      </c>
      <c r="G24" s="18" t="inlineStr">
        <is>
          <t>SS</t>
        </is>
      </c>
      <c r="H24" s="17" t="inlineStr">
        <is>
          <t>Buffer</t>
        </is>
      </c>
      <c r="I24" s="18" t="n">
        <v>4</v>
      </c>
      <c r="J24" s="18" t="n">
        <v>4</v>
      </c>
      <c r="K24" s="18" t="n">
        <v>519</v>
      </c>
      <c r="L24" s="18" t="n">
        <v>486</v>
      </c>
      <c r="M24" s="18" t="n">
        <v>528</v>
      </c>
      <c r="N24" s="18" t="n">
        <v>512</v>
      </c>
      <c r="O24" s="18" t="n">
        <v>467</v>
      </c>
      <c r="P24" s="18" t="n">
        <v>469</v>
      </c>
      <c r="Q24" s="18" t="n">
        <v>52</v>
      </c>
      <c r="R24" s="18" t="n">
        <v>49</v>
      </c>
      <c r="S24" s="18" t="n">
        <v>53</v>
      </c>
      <c r="T24" s="18" t="n">
        <v>52</v>
      </c>
      <c r="U24" s="18" t="n">
        <v>47</v>
      </c>
      <c r="V24" s="18" t="n">
        <v>47</v>
      </c>
      <c r="W24" s="20" t="n"/>
      <c r="X24" s="20" t="n"/>
      <c r="Y24" s="20" t="n"/>
      <c r="Z24" s="20" t="n"/>
      <c r="AA24" s="20" t="n"/>
      <c r="AB24" s="20" t="n"/>
      <c r="AC24" s="21">
        <f>IF(W24="","",W24-K24)</f>
        <v/>
      </c>
      <c r="AD24" s="21">
        <f>IF(X24="","",X24-L24)</f>
        <v/>
      </c>
      <c r="AE24" s="21">
        <f>IF(Y24="","",Y24-M24)</f>
        <v/>
      </c>
      <c r="AF24" s="21">
        <f>IF(Z24="","",Z24-N24)</f>
        <v/>
      </c>
      <c r="AG24" s="21">
        <f>IF(AA24="","",AA24-O24)</f>
        <v/>
      </c>
      <c r="AH24" s="21">
        <f>IF(AB24="","",AB24-P24)</f>
        <v/>
      </c>
      <c r="AI24" s="18">
        <f>IF(COUNTA(W24:AB24)=0,"未入力",IF(COUNTA(W24:AB24)&lt;6,"一部入力",IF(COUNTIF(AC24:AH24,0)=6,"一致","差分あり")))</f>
        <v/>
      </c>
      <c r="AJ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" s="19" t="inlineStr"/>
      <c r="AL24" s="18" t="inlineStr">
        <is>
          <t>2026-06-29</t>
        </is>
      </c>
    </row>
    <row r="25" ht="22" customHeight="1">
      <c r="A25" s="17" t="inlineStr">
        <is>
          <t>1001110-LB0</t>
        </is>
      </c>
      <c r="B25" s="18" t="n">
        <v>1001110</v>
      </c>
      <c r="C25" s="17" t="inlineStr">
        <is>
          <t>RKayamori10</t>
        </is>
      </c>
      <c r="D25" s="17" t="inlineStr">
        <is>
          <t>RKayamori</t>
        </is>
      </c>
      <c r="E25" s="17" t="inlineStr">
        <is>
          <t>茅森 月歌</t>
        </is>
      </c>
      <c r="F25" s="19" t="inlineStr">
        <is>
          <t>白熱！勝利を呼ぶ一球入魂！</t>
        </is>
      </c>
      <c r="G25" s="18" t="inlineStr">
        <is>
          <t>SSR</t>
        </is>
      </c>
      <c r="H25" s="17" t="inlineStr">
        <is>
          <t>Attacker</t>
        </is>
      </c>
      <c r="I25" s="18" t="n">
        <v>0</v>
      </c>
      <c r="J25" s="18" t="n">
        <v>4</v>
      </c>
      <c r="K25" s="18" t="n">
        <v>462</v>
      </c>
      <c r="L25" s="18" t="n">
        <v>364</v>
      </c>
      <c r="M25" s="18" t="n">
        <v>391</v>
      </c>
      <c r="N25" s="18" t="n">
        <v>409</v>
      </c>
      <c r="O25" s="18" t="n">
        <v>394</v>
      </c>
      <c r="P25" s="18" t="n">
        <v>427</v>
      </c>
      <c r="Q25" s="18" t="n">
        <v>47</v>
      </c>
      <c r="R25" s="18" t="n">
        <v>37</v>
      </c>
      <c r="S25" s="18" t="n">
        <v>40</v>
      </c>
      <c r="T25" s="18" t="n">
        <v>41</v>
      </c>
      <c r="U25" s="18" t="n">
        <v>40</v>
      </c>
      <c r="V25" s="18" t="n">
        <v>43</v>
      </c>
      <c r="W25" s="20" t="n"/>
      <c r="X25" s="20" t="n"/>
      <c r="Y25" s="20" t="n"/>
      <c r="Z25" s="20" t="n"/>
      <c r="AA25" s="20" t="n"/>
      <c r="AB25" s="20" t="n"/>
      <c r="AC25" s="21">
        <f>IF(W25="","",W25-K25)</f>
        <v/>
      </c>
      <c r="AD25" s="21">
        <f>IF(X25="","",X25-L25)</f>
        <v/>
      </c>
      <c r="AE25" s="21">
        <f>IF(Y25="","",Y25-M25)</f>
        <v/>
      </c>
      <c r="AF25" s="21">
        <f>IF(Z25="","",Z25-N25)</f>
        <v/>
      </c>
      <c r="AG25" s="21">
        <f>IF(AA25="","",AA25-O25)</f>
        <v/>
      </c>
      <c r="AH25" s="21">
        <f>IF(AB25="","",AB25-P25)</f>
        <v/>
      </c>
      <c r="AI25" s="18">
        <f>IF(COUNTA(W25:AB25)=0,"未入力",IF(COUNTA(W25:AB25)&lt;6,"一部入力",IF(COUNTIF(AC25:AH25,0)=6,"一致","差分あり")))</f>
        <v/>
      </c>
      <c r="AJ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" s="19" t="inlineStr"/>
      <c r="AL25" s="18" t="inlineStr">
        <is>
          <t>2026-06-29</t>
        </is>
      </c>
    </row>
    <row r="26" ht="22" customHeight="1">
      <c r="A26" s="17" t="inlineStr">
        <is>
          <t>1001110-LB4</t>
        </is>
      </c>
      <c r="B26" s="18" t="n">
        <v>1001110</v>
      </c>
      <c r="C26" s="17" t="inlineStr">
        <is>
          <t>RKayamori10</t>
        </is>
      </c>
      <c r="D26" s="17" t="inlineStr">
        <is>
          <t>RKayamori</t>
        </is>
      </c>
      <c r="E26" s="17" t="inlineStr">
        <is>
          <t>茅森 月歌</t>
        </is>
      </c>
      <c r="F26" s="19" t="inlineStr">
        <is>
          <t>白熱！勝利を呼ぶ一球入魂！</t>
        </is>
      </c>
      <c r="G26" s="18" t="inlineStr">
        <is>
          <t>SSR</t>
        </is>
      </c>
      <c r="H26" s="17" t="inlineStr">
        <is>
          <t>Attacker</t>
        </is>
      </c>
      <c r="I26" s="18" t="n">
        <v>4</v>
      </c>
      <c r="J26" s="18" t="n">
        <v>4</v>
      </c>
      <c r="K26" s="18" t="n">
        <v>556</v>
      </c>
      <c r="L26" s="18" t="n">
        <v>452</v>
      </c>
      <c r="M26" s="18" t="n">
        <v>479</v>
      </c>
      <c r="N26" s="18" t="n">
        <v>499</v>
      </c>
      <c r="O26" s="18" t="n">
        <v>480</v>
      </c>
      <c r="P26" s="18" t="n">
        <v>518</v>
      </c>
      <c r="Q26" s="18" t="n">
        <v>56</v>
      </c>
      <c r="R26" s="18" t="n">
        <v>46</v>
      </c>
      <c r="S26" s="18" t="n">
        <v>48</v>
      </c>
      <c r="T26" s="18" t="n">
        <v>50</v>
      </c>
      <c r="U26" s="18" t="n">
        <v>48</v>
      </c>
      <c r="V26" s="18" t="n">
        <v>52</v>
      </c>
      <c r="W26" s="20" t="n"/>
      <c r="X26" s="20" t="n"/>
      <c r="Y26" s="20" t="n"/>
      <c r="Z26" s="20" t="n"/>
      <c r="AA26" s="20" t="n"/>
      <c r="AB26" s="20" t="n"/>
      <c r="AC26" s="21">
        <f>IF(W26="","",W26-K26)</f>
        <v/>
      </c>
      <c r="AD26" s="21">
        <f>IF(X26="","",X26-L26)</f>
        <v/>
      </c>
      <c r="AE26" s="21">
        <f>IF(Y26="","",Y26-M26)</f>
        <v/>
      </c>
      <c r="AF26" s="21">
        <f>IF(Z26="","",Z26-N26)</f>
        <v/>
      </c>
      <c r="AG26" s="21">
        <f>IF(AA26="","",AA26-O26)</f>
        <v/>
      </c>
      <c r="AH26" s="21">
        <f>IF(AB26="","",AB26-P26)</f>
        <v/>
      </c>
      <c r="AI26" s="18">
        <f>IF(COUNTA(W26:AB26)=0,"未入力",IF(COUNTA(W26:AB26)&lt;6,"一部入力",IF(COUNTIF(AC26:AH26,0)=6,"一致","差分あり")))</f>
        <v/>
      </c>
      <c r="AJ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" s="19" t="inlineStr"/>
      <c r="AL26" s="18" t="inlineStr">
        <is>
          <t>2026-06-29</t>
        </is>
      </c>
    </row>
    <row r="27" ht="22" customHeight="1">
      <c r="A27" s="17" t="inlineStr">
        <is>
          <t>1001111-LB0</t>
        </is>
      </c>
      <c r="B27" s="18" t="n">
        <v>1001111</v>
      </c>
      <c r="C27" s="17" t="inlineStr">
        <is>
          <t>RKayamori11</t>
        </is>
      </c>
      <c r="D27" s="17" t="inlineStr">
        <is>
          <t>RKayamori</t>
        </is>
      </c>
      <c r="E27" s="17" t="inlineStr">
        <is>
          <t>茅森 月歌</t>
        </is>
      </c>
      <c r="F27" s="19" t="inlineStr">
        <is>
          <t>Glorious Blades</t>
        </is>
      </c>
      <c r="G27" s="18" t="inlineStr">
        <is>
          <t>SSR</t>
        </is>
      </c>
      <c r="H27" s="17" t="inlineStr">
        <is>
          <t>Admiral</t>
        </is>
      </c>
      <c r="I27" s="18" t="n">
        <v>0</v>
      </c>
      <c r="J27" s="18" t="n">
        <v>4</v>
      </c>
      <c r="K27" s="18" t="n">
        <v>425</v>
      </c>
      <c r="L27" s="18" t="n">
        <v>399</v>
      </c>
      <c r="M27" s="18" t="n">
        <v>439</v>
      </c>
      <c r="N27" s="18" t="n">
        <v>422</v>
      </c>
      <c r="O27" s="18" t="n">
        <v>381</v>
      </c>
      <c r="P27" s="18" t="n">
        <v>377</v>
      </c>
      <c r="Q27" s="18" t="n">
        <v>43</v>
      </c>
      <c r="R27" s="18" t="n">
        <v>40</v>
      </c>
      <c r="S27" s="18" t="n">
        <v>44</v>
      </c>
      <c r="T27" s="18" t="n">
        <v>43</v>
      </c>
      <c r="U27" s="18" t="n">
        <v>39</v>
      </c>
      <c r="V27" s="18" t="n">
        <v>38</v>
      </c>
      <c r="W27" s="20" t="n"/>
      <c r="X27" s="20" t="n"/>
      <c r="Y27" s="20" t="n"/>
      <c r="Z27" s="20" t="n"/>
      <c r="AA27" s="20" t="n"/>
      <c r="AB27" s="20" t="n"/>
      <c r="AC27" s="21">
        <f>IF(W27="","",W27-K27)</f>
        <v/>
      </c>
      <c r="AD27" s="21">
        <f>IF(X27="","",X27-L27)</f>
        <v/>
      </c>
      <c r="AE27" s="21">
        <f>IF(Y27="","",Y27-M27)</f>
        <v/>
      </c>
      <c r="AF27" s="21">
        <f>IF(Z27="","",Z27-N27)</f>
        <v/>
      </c>
      <c r="AG27" s="21">
        <f>IF(AA27="","",AA27-O27)</f>
        <v/>
      </c>
      <c r="AH27" s="21">
        <f>IF(AB27="","",AB27-P27)</f>
        <v/>
      </c>
      <c r="AI27" s="18">
        <f>IF(COUNTA(W27:AB27)=0,"未入力",IF(COUNTA(W27:AB27)&lt;6,"一部入力",IF(COUNTIF(AC27:AH27,0)=6,"一致","差分あり")))</f>
        <v/>
      </c>
      <c r="AJ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" s="19" t="inlineStr"/>
      <c r="AL27" s="18" t="inlineStr">
        <is>
          <t>2026-06-29</t>
        </is>
      </c>
    </row>
    <row r="28" ht="22" customHeight="1">
      <c r="A28" s="17" t="inlineStr">
        <is>
          <t>1001111-LB4</t>
        </is>
      </c>
      <c r="B28" s="18" t="n">
        <v>1001111</v>
      </c>
      <c r="C28" s="17" t="inlineStr">
        <is>
          <t>RKayamori11</t>
        </is>
      </c>
      <c r="D28" s="17" t="inlineStr">
        <is>
          <t>RKayamori</t>
        </is>
      </c>
      <c r="E28" s="17" t="inlineStr">
        <is>
          <t>茅森 月歌</t>
        </is>
      </c>
      <c r="F28" s="19" t="inlineStr">
        <is>
          <t>Glorious Blades</t>
        </is>
      </c>
      <c r="G28" s="18" t="inlineStr">
        <is>
          <t>SSR</t>
        </is>
      </c>
      <c r="H28" s="17" t="inlineStr">
        <is>
          <t>Admiral</t>
        </is>
      </c>
      <c r="I28" s="18" t="n">
        <v>4</v>
      </c>
      <c r="J28" s="18" t="n">
        <v>4</v>
      </c>
      <c r="K28" s="18" t="n">
        <v>519</v>
      </c>
      <c r="L28" s="18" t="n">
        <v>486</v>
      </c>
      <c r="M28" s="18" t="n">
        <v>528</v>
      </c>
      <c r="N28" s="18" t="n">
        <v>512</v>
      </c>
      <c r="O28" s="18" t="n">
        <v>467</v>
      </c>
      <c r="P28" s="18" t="n">
        <v>469</v>
      </c>
      <c r="Q28" s="18" t="n">
        <v>52</v>
      </c>
      <c r="R28" s="18" t="n">
        <v>49</v>
      </c>
      <c r="S28" s="18" t="n">
        <v>53</v>
      </c>
      <c r="T28" s="18" t="n">
        <v>52</v>
      </c>
      <c r="U28" s="18" t="n">
        <v>47</v>
      </c>
      <c r="V28" s="18" t="n">
        <v>47</v>
      </c>
      <c r="W28" s="20" t="n"/>
      <c r="X28" s="20" t="n"/>
      <c r="Y28" s="20" t="n"/>
      <c r="Z28" s="20" t="n"/>
      <c r="AA28" s="20" t="n"/>
      <c r="AB28" s="20" t="n"/>
      <c r="AC28" s="21">
        <f>IF(W28="","",W28-K28)</f>
        <v/>
      </c>
      <c r="AD28" s="21">
        <f>IF(X28="","",X28-L28)</f>
        <v/>
      </c>
      <c r="AE28" s="21">
        <f>IF(Y28="","",Y28-M28)</f>
        <v/>
      </c>
      <c r="AF28" s="21">
        <f>IF(Z28="","",Z28-N28)</f>
        <v/>
      </c>
      <c r="AG28" s="21">
        <f>IF(AA28="","",AA28-O28)</f>
        <v/>
      </c>
      <c r="AH28" s="21">
        <f>IF(AB28="","",AB28-P28)</f>
        <v/>
      </c>
      <c r="AI28" s="18">
        <f>IF(COUNTA(W28:AB28)=0,"未入力",IF(COUNTA(W28:AB28)&lt;6,"一部入力",IF(COUNTIF(AC28:AH28,0)=6,"一致","差分あり")))</f>
        <v/>
      </c>
      <c r="AJ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" s="19" t="inlineStr"/>
      <c r="AL28" s="18" t="inlineStr">
        <is>
          <t>2026-06-29</t>
        </is>
      </c>
    </row>
    <row r="29" ht="22" customHeight="1">
      <c r="A29" s="17" t="inlineStr">
        <is>
          <t>1001112-LB0</t>
        </is>
      </c>
      <c r="B29" s="18" t="n">
        <v>1001112</v>
      </c>
      <c r="C29" s="17" t="inlineStr">
        <is>
          <t>RKayamori12</t>
        </is>
      </c>
      <c r="D29" s="17" t="inlineStr">
        <is>
          <t>RKayamori</t>
        </is>
      </c>
      <c r="E29" s="17" t="inlineStr">
        <is>
          <t>茅森 月歌</t>
        </is>
      </c>
      <c r="F29" s="19" t="inlineStr">
        <is>
          <t>TAKE YOUR HEART</t>
        </is>
      </c>
      <c r="G29" s="18" t="inlineStr">
        <is>
          <t>SSR</t>
        </is>
      </c>
      <c r="H29" s="17" t="inlineStr">
        <is>
          <t>Debuffer</t>
        </is>
      </c>
      <c r="I29" s="18" t="n">
        <v>0</v>
      </c>
      <c r="J29" s="18" t="n">
        <v>4</v>
      </c>
      <c r="K29" s="18" t="n">
        <v>425</v>
      </c>
      <c r="L29" s="18" t="n">
        <v>399</v>
      </c>
      <c r="M29" s="18" t="n">
        <v>439</v>
      </c>
      <c r="N29" s="18" t="n">
        <v>422</v>
      </c>
      <c r="O29" s="18" t="n">
        <v>381</v>
      </c>
      <c r="P29" s="18" t="n">
        <v>377</v>
      </c>
      <c r="Q29" s="18" t="n">
        <v>43</v>
      </c>
      <c r="R29" s="18" t="n">
        <v>40</v>
      </c>
      <c r="S29" s="18" t="n">
        <v>44</v>
      </c>
      <c r="T29" s="18" t="n">
        <v>43</v>
      </c>
      <c r="U29" s="18" t="n">
        <v>39</v>
      </c>
      <c r="V29" s="18" t="n">
        <v>38</v>
      </c>
      <c r="W29" s="20" t="n"/>
      <c r="X29" s="20" t="n"/>
      <c r="Y29" s="20" t="n"/>
      <c r="Z29" s="20" t="n"/>
      <c r="AA29" s="20" t="n"/>
      <c r="AB29" s="20" t="n"/>
      <c r="AC29" s="21">
        <f>IF(W29="","",W29-K29)</f>
        <v/>
      </c>
      <c r="AD29" s="21">
        <f>IF(X29="","",X29-L29)</f>
        <v/>
      </c>
      <c r="AE29" s="21">
        <f>IF(Y29="","",Y29-M29)</f>
        <v/>
      </c>
      <c r="AF29" s="21">
        <f>IF(Z29="","",Z29-N29)</f>
        <v/>
      </c>
      <c r="AG29" s="21">
        <f>IF(AA29="","",AA29-O29)</f>
        <v/>
      </c>
      <c r="AH29" s="21">
        <f>IF(AB29="","",AB29-P29)</f>
        <v/>
      </c>
      <c r="AI29" s="18">
        <f>IF(COUNTA(W29:AB29)=0,"未入力",IF(COUNTA(W29:AB29)&lt;6,"一部入力",IF(COUNTIF(AC29:AH29,0)=6,"一致","差分あり")))</f>
        <v/>
      </c>
      <c r="AJ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" s="19" t="inlineStr"/>
      <c r="AL29" s="18" t="inlineStr">
        <is>
          <t>2026-06-29</t>
        </is>
      </c>
    </row>
    <row r="30" ht="22" customHeight="1">
      <c r="A30" s="17" t="inlineStr">
        <is>
          <t>1001112-LB4</t>
        </is>
      </c>
      <c r="B30" s="18" t="n">
        <v>1001112</v>
      </c>
      <c r="C30" s="17" t="inlineStr">
        <is>
          <t>RKayamori12</t>
        </is>
      </c>
      <c r="D30" s="17" t="inlineStr">
        <is>
          <t>RKayamori</t>
        </is>
      </c>
      <c r="E30" s="17" t="inlineStr">
        <is>
          <t>茅森 月歌</t>
        </is>
      </c>
      <c r="F30" s="19" t="inlineStr">
        <is>
          <t>TAKE YOUR HEART</t>
        </is>
      </c>
      <c r="G30" s="18" t="inlineStr">
        <is>
          <t>SSR</t>
        </is>
      </c>
      <c r="H30" s="17" t="inlineStr">
        <is>
          <t>Debuffer</t>
        </is>
      </c>
      <c r="I30" s="18" t="n">
        <v>4</v>
      </c>
      <c r="J30" s="18" t="n">
        <v>4</v>
      </c>
      <c r="K30" s="18" t="n">
        <v>519</v>
      </c>
      <c r="L30" s="18" t="n">
        <v>486</v>
      </c>
      <c r="M30" s="18" t="n">
        <v>528</v>
      </c>
      <c r="N30" s="18" t="n">
        <v>512</v>
      </c>
      <c r="O30" s="18" t="n">
        <v>467</v>
      </c>
      <c r="P30" s="18" t="n">
        <v>469</v>
      </c>
      <c r="Q30" s="18" t="n">
        <v>52</v>
      </c>
      <c r="R30" s="18" t="n">
        <v>49</v>
      </c>
      <c r="S30" s="18" t="n">
        <v>53</v>
      </c>
      <c r="T30" s="18" t="n">
        <v>52</v>
      </c>
      <c r="U30" s="18" t="n">
        <v>47</v>
      </c>
      <c r="V30" s="18" t="n">
        <v>47</v>
      </c>
      <c r="W30" s="20" t="n"/>
      <c r="X30" s="20" t="n"/>
      <c r="Y30" s="20" t="n"/>
      <c r="Z30" s="20" t="n"/>
      <c r="AA30" s="20" t="n"/>
      <c r="AB30" s="20" t="n"/>
      <c r="AC30" s="21">
        <f>IF(W30="","",W30-K30)</f>
        <v/>
      </c>
      <c r="AD30" s="21">
        <f>IF(X30="","",X30-L30)</f>
        <v/>
      </c>
      <c r="AE30" s="21">
        <f>IF(Y30="","",Y30-M30)</f>
        <v/>
      </c>
      <c r="AF30" s="21">
        <f>IF(Z30="","",Z30-N30)</f>
        <v/>
      </c>
      <c r="AG30" s="21">
        <f>IF(AA30="","",AA30-O30)</f>
        <v/>
      </c>
      <c r="AH30" s="21">
        <f>IF(AB30="","",AB30-P30)</f>
        <v/>
      </c>
      <c r="AI30" s="18">
        <f>IF(COUNTA(W30:AB30)=0,"未入力",IF(COUNTA(W30:AB30)&lt;6,"一部入力",IF(COUNTIF(AC30:AH30,0)=6,"一致","差分あり")))</f>
        <v/>
      </c>
      <c r="AJ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" s="19" t="inlineStr"/>
      <c r="AL30" s="18" t="inlineStr">
        <is>
          <t>2026-06-29</t>
        </is>
      </c>
    </row>
    <row r="31" ht="22" customHeight="1">
      <c r="A31" s="17" t="inlineStr">
        <is>
          <t>1001201-LB0</t>
        </is>
      </c>
      <c r="B31" s="18" t="n">
        <v>1001201</v>
      </c>
      <c r="C31" s="17" t="inlineStr">
        <is>
          <t>YIzumi01</t>
        </is>
      </c>
      <c r="D31" s="17" t="inlineStr">
        <is>
          <t>YIzumi</t>
        </is>
      </c>
      <c r="E31" s="17" t="inlineStr">
        <is>
          <t>和泉 ユキ</t>
        </is>
      </c>
      <c r="F31" s="19" t="inlineStr">
        <is>
          <t>Attack or March</t>
        </is>
      </c>
      <c r="G31" s="18" t="inlineStr">
        <is>
          <t>A</t>
        </is>
      </c>
      <c r="H31" s="17" t="inlineStr">
        <is>
          <t>Breaker</t>
        </is>
      </c>
      <c r="I31" s="18" t="n">
        <v>0</v>
      </c>
      <c r="J31" s="18" t="n">
        <v>20</v>
      </c>
      <c r="K31" s="18" t="n">
        <v>285</v>
      </c>
      <c r="L31" s="18" t="n">
        <v>266</v>
      </c>
      <c r="M31" s="18" t="n">
        <v>247</v>
      </c>
      <c r="N31" s="18" t="n">
        <v>280</v>
      </c>
      <c r="O31" s="18" t="n">
        <v>284</v>
      </c>
      <c r="P31" s="18" t="n">
        <v>284</v>
      </c>
      <c r="Q31" s="18" t="n">
        <v>29</v>
      </c>
      <c r="R31" s="18" t="n">
        <v>27</v>
      </c>
      <c r="S31" s="18" t="n">
        <v>25</v>
      </c>
      <c r="T31" s="18" t="n">
        <v>28</v>
      </c>
      <c r="U31" s="18" t="n">
        <v>29</v>
      </c>
      <c r="V31" s="18" t="n">
        <v>29</v>
      </c>
      <c r="W31" s="20" t="n"/>
      <c r="X31" s="20" t="n"/>
      <c r="Y31" s="20" t="n"/>
      <c r="Z31" s="20" t="n"/>
      <c r="AA31" s="20" t="n"/>
      <c r="AB31" s="20" t="n"/>
      <c r="AC31" s="21">
        <f>IF(W31="","",W31-K31)</f>
        <v/>
      </c>
      <c r="AD31" s="21">
        <f>IF(X31="","",X31-L31)</f>
        <v/>
      </c>
      <c r="AE31" s="21">
        <f>IF(Y31="","",Y31-M31)</f>
        <v/>
      </c>
      <c r="AF31" s="21">
        <f>IF(Z31="","",Z31-N31)</f>
        <v/>
      </c>
      <c r="AG31" s="21">
        <f>IF(AA31="","",AA31-O31)</f>
        <v/>
      </c>
      <c r="AH31" s="21">
        <f>IF(AB31="","",AB31-P31)</f>
        <v/>
      </c>
      <c r="AI31" s="18">
        <f>IF(COUNTA(W31:AB31)=0,"未入力",IF(COUNTA(W31:AB31)&lt;6,"一部入力",IF(COUNTIF(AC31:AH31,0)=6,"一致","差分あり")))</f>
        <v/>
      </c>
      <c r="AJ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" s="19" t="inlineStr"/>
      <c r="AL31" s="18" t="inlineStr">
        <is>
          <t>2026-06-29</t>
        </is>
      </c>
    </row>
    <row r="32" ht="22" customHeight="1">
      <c r="A32" s="17" t="inlineStr">
        <is>
          <t>1001201-LB20</t>
        </is>
      </c>
      <c r="B32" s="18" t="n">
        <v>1001201</v>
      </c>
      <c r="C32" s="17" t="inlineStr">
        <is>
          <t>YIzumi01</t>
        </is>
      </c>
      <c r="D32" s="17" t="inlineStr">
        <is>
          <t>YIzumi</t>
        </is>
      </c>
      <c r="E32" s="17" t="inlineStr">
        <is>
          <t>和泉 ユキ</t>
        </is>
      </c>
      <c r="F32" s="19" t="inlineStr">
        <is>
          <t>Attack or March</t>
        </is>
      </c>
      <c r="G32" s="18" t="inlineStr">
        <is>
          <t>A</t>
        </is>
      </c>
      <c r="H32" s="17" t="inlineStr">
        <is>
          <t>Breaker</t>
        </is>
      </c>
      <c r="I32" s="18" t="n">
        <v>20</v>
      </c>
      <c r="J32" s="18" t="n">
        <v>20</v>
      </c>
      <c r="K32" s="18" t="n">
        <v>329</v>
      </c>
      <c r="L32" s="18" t="n">
        <v>314</v>
      </c>
      <c r="M32" s="18" t="n">
        <v>291</v>
      </c>
      <c r="N32" s="18" t="n">
        <v>324</v>
      </c>
      <c r="O32" s="18" t="n">
        <v>329</v>
      </c>
      <c r="P32" s="18" t="n">
        <v>326</v>
      </c>
      <c r="Q32" s="18" t="n">
        <v>33</v>
      </c>
      <c r="R32" s="18" t="n">
        <v>32</v>
      </c>
      <c r="S32" s="18" t="n">
        <v>30</v>
      </c>
      <c r="T32" s="18" t="n">
        <v>33</v>
      </c>
      <c r="U32" s="18" t="n">
        <v>33</v>
      </c>
      <c r="V32" s="18" t="n">
        <v>33</v>
      </c>
      <c r="W32" s="20" t="n"/>
      <c r="X32" s="20" t="n"/>
      <c r="Y32" s="20" t="n"/>
      <c r="Z32" s="20" t="n"/>
      <c r="AA32" s="20" t="n"/>
      <c r="AB32" s="20" t="n"/>
      <c r="AC32" s="21">
        <f>IF(W32="","",W32-K32)</f>
        <v/>
      </c>
      <c r="AD32" s="21">
        <f>IF(X32="","",X32-L32)</f>
        <v/>
      </c>
      <c r="AE32" s="21">
        <f>IF(Y32="","",Y32-M32)</f>
        <v/>
      </c>
      <c r="AF32" s="21">
        <f>IF(Z32="","",Z32-N32)</f>
        <v/>
      </c>
      <c r="AG32" s="21">
        <f>IF(AA32="","",AA32-O32)</f>
        <v/>
      </c>
      <c r="AH32" s="21">
        <f>IF(AB32="","",AB32-P32)</f>
        <v/>
      </c>
      <c r="AI32" s="18">
        <f>IF(COUNTA(W32:AB32)=0,"未入力",IF(COUNTA(W32:AB32)&lt;6,"一部入力",IF(COUNTIF(AC32:AH32,0)=6,"一致","差分あり")))</f>
        <v/>
      </c>
      <c r="AJ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" s="19" t="inlineStr"/>
      <c r="AL32" s="18" t="inlineStr">
        <is>
          <t>2026-06-29</t>
        </is>
      </c>
    </row>
    <row r="33" ht="22" customHeight="1">
      <c r="A33" s="17" t="inlineStr">
        <is>
          <t>1001202-LB0</t>
        </is>
      </c>
      <c r="B33" s="18" t="n">
        <v>1001202</v>
      </c>
      <c r="C33" s="17" t="inlineStr">
        <is>
          <t>YIzumi02</t>
        </is>
      </c>
      <c r="D33" s="17" t="inlineStr">
        <is>
          <t>YIzumi</t>
        </is>
      </c>
      <c r="E33" s="17" t="inlineStr">
        <is>
          <t>和泉 ユキ</t>
        </is>
      </c>
      <c r="F33" s="19" t="inlineStr">
        <is>
          <t>夢幻のSleeping Ocelot</t>
        </is>
      </c>
      <c r="G33" s="18" t="inlineStr">
        <is>
          <t>S</t>
        </is>
      </c>
      <c r="H33" s="17" t="inlineStr">
        <is>
          <t>Breaker</t>
        </is>
      </c>
      <c r="I33" s="18" t="n">
        <v>0</v>
      </c>
      <c r="J33" s="18" t="n">
        <v>10</v>
      </c>
      <c r="K33" s="18" t="n">
        <v>313</v>
      </c>
      <c r="L33" s="18" t="n">
        <v>341</v>
      </c>
      <c r="M33" s="18" t="n">
        <v>348</v>
      </c>
      <c r="N33" s="18" t="n">
        <v>351</v>
      </c>
      <c r="O33" s="18" t="n">
        <v>311</v>
      </c>
      <c r="P33" s="18" t="n">
        <v>300</v>
      </c>
      <c r="Q33" s="18" t="n">
        <v>32</v>
      </c>
      <c r="R33" s="18" t="n">
        <v>35</v>
      </c>
      <c r="S33" s="18" t="n">
        <v>35</v>
      </c>
      <c r="T33" s="18" t="n">
        <v>36</v>
      </c>
      <c r="U33" s="18" t="n">
        <v>32</v>
      </c>
      <c r="V33" s="18" t="n">
        <v>30</v>
      </c>
      <c r="W33" s="20" t="n"/>
      <c r="X33" s="20" t="n"/>
      <c r="Y33" s="20" t="n"/>
      <c r="Z33" s="20" t="n"/>
      <c r="AA33" s="20" t="n"/>
      <c r="AB33" s="20" t="n"/>
      <c r="AC33" s="21">
        <f>IF(W33="","",W33-K33)</f>
        <v/>
      </c>
      <c r="AD33" s="21">
        <f>IF(X33="","",X33-L33)</f>
        <v/>
      </c>
      <c r="AE33" s="21">
        <f>IF(Y33="","",Y33-M33)</f>
        <v/>
      </c>
      <c r="AF33" s="21">
        <f>IF(Z33="","",Z33-N33)</f>
        <v/>
      </c>
      <c r="AG33" s="21">
        <f>IF(AA33="","",AA33-O33)</f>
        <v/>
      </c>
      <c r="AH33" s="21">
        <f>IF(AB33="","",AB33-P33)</f>
        <v/>
      </c>
      <c r="AI33" s="18">
        <f>IF(COUNTA(W33:AB33)=0,"未入力",IF(COUNTA(W33:AB33)&lt;6,"一部入力",IF(COUNTIF(AC33:AH33,0)=6,"一致","差分あり")))</f>
        <v/>
      </c>
      <c r="AJ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" s="19" t="inlineStr"/>
      <c r="AL33" s="18" t="inlineStr">
        <is>
          <t>2026-06-29</t>
        </is>
      </c>
    </row>
    <row r="34" ht="22" customHeight="1">
      <c r="A34" s="17" t="inlineStr">
        <is>
          <t>1001202-LB10</t>
        </is>
      </c>
      <c r="B34" s="18" t="n">
        <v>1001202</v>
      </c>
      <c r="C34" s="17" t="inlineStr">
        <is>
          <t>YIzumi02</t>
        </is>
      </c>
      <c r="D34" s="17" t="inlineStr">
        <is>
          <t>YIzumi</t>
        </is>
      </c>
      <c r="E34" s="17" t="inlineStr">
        <is>
          <t>和泉 ユキ</t>
        </is>
      </c>
      <c r="F34" s="19" t="inlineStr">
        <is>
          <t>夢幻のSleeping Ocelot</t>
        </is>
      </c>
      <c r="G34" s="18" t="inlineStr">
        <is>
          <t>S</t>
        </is>
      </c>
      <c r="H34" s="17" t="inlineStr">
        <is>
          <t>Breaker</t>
        </is>
      </c>
      <c r="I34" s="18" t="n">
        <v>10</v>
      </c>
      <c r="J34" s="18" t="n">
        <v>10</v>
      </c>
      <c r="K34" s="18" t="n">
        <v>378</v>
      </c>
      <c r="L34" s="18" t="n">
        <v>413</v>
      </c>
      <c r="M34" s="18" t="n">
        <v>417</v>
      </c>
      <c r="N34" s="18" t="n">
        <v>417</v>
      </c>
      <c r="O34" s="18" t="n">
        <v>378</v>
      </c>
      <c r="P34" s="18" t="n">
        <v>364</v>
      </c>
      <c r="Q34" s="18" t="n">
        <v>38</v>
      </c>
      <c r="R34" s="18" t="n">
        <v>42</v>
      </c>
      <c r="S34" s="18" t="n">
        <v>42</v>
      </c>
      <c r="T34" s="18" t="n">
        <v>42</v>
      </c>
      <c r="U34" s="18" t="n">
        <v>38</v>
      </c>
      <c r="V34" s="18" t="n">
        <v>37</v>
      </c>
      <c r="W34" s="20" t="n"/>
      <c r="X34" s="20" t="n"/>
      <c r="Y34" s="20" t="n"/>
      <c r="Z34" s="20" t="n"/>
      <c r="AA34" s="20" t="n"/>
      <c r="AB34" s="20" t="n"/>
      <c r="AC34" s="21">
        <f>IF(W34="","",W34-K34)</f>
        <v/>
      </c>
      <c r="AD34" s="21">
        <f>IF(X34="","",X34-L34)</f>
        <v/>
      </c>
      <c r="AE34" s="21">
        <f>IF(Y34="","",Y34-M34)</f>
        <v/>
      </c>
      <c r="AF34" s="21">
        <f>IF(Z34="","",Z34-N34)</f>
        <v/>
      </c>
      <c r="AG34" s="21">
        <f>IF(AA34="","",AA34-O34)</f>
        <v/>
      </c>
      <c r="AH34" s="21">
        <f>IF(AB34="","",AB34-P34)</f>
        <v/>
      </c>
      <c r="AI34" s="18">
        <f>IF(COUNTA(W34:AB34)=0,"未入力",IF(COUNTA(W34:AB34)&lt;6,"一部入力",IF(COUNTIF(AC34:AH34,0)=6,"一致","差分あり")))</f>
        <v/>
      </c>
      <c r="AJ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" s="19" t="inlineStr"/>
      <c r="AL34" s="18" t="inlineStr">
        <is>
          <t>2026-06-29</t>
        </is>
      </c>
    </row>
    <row r="35" ht="22" customHeight="1">
      <c r="A35" s="17" t="inlineStr">
        <is>
          <t>1001203-LB0</t>
        </is>
      </c>
      <c r="B35" s="18" t="n">
        <v>1001203</v>
      </c>
      <c r="C35" s="17" t="inlineStr">
        <is>
          <t>YIzumi03</t>
        </is>
      </c>
      <c r="D35" s="17" t="inlineStr">
        <is>
          <t>YIzumi</t>
        </is>
      </c>
      <c r="E35" s="17" t="inlineStr">
        <is>
          <t>和泉 ユキ</t>
        </is>
      </c>
      <c r="F35" s="19" t="inlineStr">
        <is>
          <t>終いのSpitfire</t>
        </is>
      </c>
      <c r="G35" s="18" t="inlineStr">
        <is>
          <t>SS</t>
        </is>
      </c>
      <c r="H35" s="17" t="inlineStr">
        <is>
          <t>Breaker</t>
        </is>
      </c>
      <c r="I35" s="18" t="n">
        <v>0</v>
      </c>
      <c r="J35" s="18" t="n">
        <v>4</v>
      </c>
      <c r="K35" s="18" t="n">
        <v>338</v>
      </c>
      <c r="L35" s="18" t="n">
        <v>442</v>
      </c>
      <c r="M35" s="18" t="n">
        <v>378</v>
      </c>
      <c r="N35" s="18" t="n">
        <v>365</v>
      </c>
      <c r="O35" s="18" t="n">
        <v>396</v>
      </c>
      <c r="P35" s="18" t="n">
        <v>369</v>
      </c>
      <c r="Q35" s="18" t="n">
        <v>34</v>
      </c>
      <c r="R35" s="18" t="n">
        <v>45</v>
      </c>
      <c r="S35" s="18" t="n">
        <v>38</v>
      </c>
      <c r="T35" s="18" t="n">
        <v>37</v>
      </c>
      <c r="U35" s="18" t="n">
        <v>40</v>
      </c>
      <c r="V35" s="18" t="n">
        <v>37</v>
      </c>
      <c r="W35" s="20" t="n"/>
      <c r="X35" s="20" t="n"/>
      <c r="Y35" s="20" t="n"/>
      <c r="Z35" s="20" t="n"/>
      <c r="AA35" s="20" t="n"/>
      <c r="AB35" s="20" t="n"/>
      <c r="AC35" s="21">
        <f>IF(W35="","",W35-K35)</f>
        <v/>
      </c>
      <c r="AD35" s="21">
        <f>IF(X35="","",X35-L35)</f>
        <v/>
      </c>
      <c r="AE35" s="21">
        <f>IF(Y35="","",Y35-M35)</f>
        <v/>
      </c>
      <c r="AF35" s="21">
        <f>IF(Z35="","",Z35-N35)</f>
        <v/>
      </c>
      <c r="AG35" s="21">
        <f>IF(AA35="","",AA35-O35)</f>
        <v/>
      </c>
      <c r="AH35" s="21">
        <f>IF(AB35="","",AB35-P35)</f>
        <v/>
      </c>
      <c r="AI35" s="18">
        <f>IF(COUNTA(W35:AB35)=0,"未入力",IF(COUNTA(W35:AB35)&lt;6,"一部入力",IF(COUNTIF(AC35:AH35,0)=6,"一致","差分あり")))</f>
        <v/>
      </c>
      <c r="AJ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" s="19" t="inlineStr"/>
      <c r="AL35" s="18" t="inlineStr">
        <is>
          <t>2026-06-29</t>
        </is>
      </c>
    </row>
    <row r="36" ht="22" customHeight="1">
      <c r="A36" s="17" t="inlineStr">
        <is>
          <t>1001203-LB4</t>
        </is>
      </c>
      <c r="B36" s="18" t="n">
        <v>1001203</v>
      </c>
      <c r="C36" s="17" t="inlineStr">
        <is>
          <t>YIzumi03</t>
        </is>
      </c>
      <c r="D36" s="17" t="inlineStr">
        <is>
          <t>YIzumi</t>
        </is>
      </c>
      <c r="E36" s="17" t="inlineStr">
        <is>
          <t>和泉 ユキ</t>
        </is>
      </c>
      <c r="F36" s="19" t="inlineStr">
        <is>
          <t>終いのSpitfire</t>
        </is>
      </c>
      <c r="G36" s="18" t="inlineStr">
        <is>
          <t>SS</t>
        </is>
      </c>
      <c r="H36" s="17" t="inlineStr">
        <is>
          <t>Breaker</t>
        </is>
      </c>
      <c r="I36" s="18" t="n">
        <v>4</v>
      </c>
      <c r="J36" s="18" t="n">
        <v>4</v>
      </c>
      <c r="K36" s="18" t="n">
        <v>424</v>
      </c>
      <c r="L36" s="18" t="n">
        <v>537</v>
      </c>
      <c r="M36" s="18" t="n">
        <v>466</v>
      </c>
      <c r="N36" s="18" t="n">
        <v>453</v>
      </c>
      <c r="O36" s="18" t="n">
        <v>485</v>
      </c>
      <c r="P36" s="18" t="n">
        <v>455</v>
      </c>
      <c r="Q36" s="18" t="n">
        <v>43</v>
      </c>
      <c r="R36" s="18" t="n">
        <v>54</v>
      </c>
      <c r="S36" s="18" t="n">
        <v>47</v>
      </c>
      <c r="T36" s="18" t="n">
        <v>46</v>
      </c>
      <c r="U36" s="18" t="n">
        <v>49</v>
      </c>
      <c r="V36" s="18" t="n">
        <v>46</v>
      </c>
      <c r="W36" s="20" t="n"/>
      <c r="X36" s="20" t="n"/>
      <c r="Y36" s="20" t="n"/>
      <c r="Z36" s="20" t="n"/>
      <c r="AA36" s="20" t="n"/>
      <c r="AB36" s="20" t="n"/>
      <c r="AC36" s="21">
        <f>IF(W36="","",W36-K36)</f>
        <v/>
      </c>
      <c r="AD36" s="21">
        <f>IF(X36="","",X36-L36)</f>
        <v/>
      </c>
      <c r="AE36" s="21">
        <f>IF(Y36="","",Y36-M36)</f>
        <v/>
      </c>
      <c r="AF36" s="21">
        <f>IF(Z36="","",Z36-N36)</f>
        <v/>
      </c>
      <c r="AG36" s="21">
        <f>IF(AA36="","",AA36-O36)</f>
        <v/>
      </c>
      <c r="AH36" s="21">
        <f>IF(AB36="","",AB36-P36)</f>
        <v/>
      </c>
      <c r="AI36" s="18">
        <f>IF(COUNTA(W36:AB36)=0,"未入力",IF(COUNTA(W36:AB36)&lt;6,"一部入力",IF(COUNTIF(AC36:AH36,0)=6,"一致","差分あり")))</f>
        <v/>
      </c>
      <c r="AJ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" s="19" t="inlineStr"/>
      <c r="AL36" s="18" t="inlineStr">
        <is>
          <t>2026-06-29</t>
        </is>
      </c>
    </row>
    <row r="37" ht="22" customHeight="1">
      <c r="A37" s="17" t="inlineStr">
        <is>
          <t>1001204-LB0</t>
        </is>
      </c>
      <c r="B37" s="18" t="n">
        <v>1001204</v>
      </c>
      <c r="C37" s="17" t="inlineStr">
        <is>
          <t>YIzumi04</t>
        </is>
      </c>
      <c r="D37" s="17" t="inlineStr">
        <is>
          <t>YIzumi</t>
        </is>
      </c>
      <c r="E37" s="17" t="inlineStr">
        <is>
          <t>和泉 ユキ</t>
        </is>
      </c>
      <c r="F37" s="19" t="inlineStr">
        <is>
          <t>夏椿、けうらなる夜光星</t>
        </is>
      </c>
      <c r="G37" s="18" t="inlineStr">
        <is>
          <t>SS</t>
        </is>
      </c>
      <c r="H37" s="17" t="inlineStr">
        <is>
          <t>Breaker</t>
        </is>
      </c>
      <c r="I37" s="18" t="n">
        <v>0</v>
      </c>
      <c r="J37" s="18" t="n">
        <v>4</v>
      </c>
      <c r="K37" s="18" t="n">
        <v>359</v>
      </c>
      <c r="L37" s="18" t="n">
        <v>466</v>
      </c>
      <c r="M37" s="18" t="n">
        <v>400</v>
      </c>
      <c r="N37" s="18" t="n">
        <v>387</v>
      </c>
      <c r="O37" s="18" t="n">
        <v>419</v>
      </c>
      <c r="P37" s="18" t="n">
        <v>391</v>
      </c>
      <c r="Q37" s="18" t="n">
        <v>36</v>
      </c>
      <c r="R37" s="18" t="n">
        <v>47</v>
      </c>
      <c r="S37" s="18" t="n">
        <v>40</v>
      </c>
      <c r="T37" s="18" t="n">
        <v>39</v>
      </c>
      <c r="U37" s="18" t="n">
        <v>42</v>
      </c>
      <c r="V37" s="18" t="n">
        <v>40</v>
      </c>
      <c r="W37" s="20" t="n"/>
      <c r="X37" s="20" t="n"/>
      <c r="Y37" s="20" t="n"/>
      <c r="Z37" s="20" t="n"/>
      <c r="AA37" s="20" t="n"/>
      <c r="AB37" s="20" t="n"/>
      <c r="AC37" s="21">
        <f>IF(W37="","",W37-K37)</f>
        <v/>
      </c>
      <c r="AD37" s="21">
        <f>IF(X37="","",X37-L37)</f>
        <v/>
      </c>
      <c r="AE37" s="21">
        <f>IF(Y37="","",Y37-M37)</f>
        <v/>
      </c>
      <c r="AF37" s="21">
        <f>IF(Z37="","",Z37-N37)</f>
        <v/>
      </c>
      <c r="AG37" s="21">
        <f>IF(AA37="","",AA37-O37)</f>
        <v/>
      </c>
      <c r="AH37" s="21">
        <f>IF(AB37="","",AB37-P37)</f>
        <v/>
      </c>
      <c r="AI37" s="18">
        <f>IF(COUNTA(W37:AB37)=0,"未入力",IF(COUNTA(W37:AB37)&lt;6,"一部入力",IF(COUNTIF(AC37:AH37,0)=6,"一致","差分あり")))</f>
        <v/>
      </c>
      <c r="AJ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" s="19" t="inlineStr"/>
      <c r="AL37" s="18" t="inlineStr">
        <is>
          <t>2026-06-29</t>
        </is>
      </c>
    </row>
    <row r="38" ht="22" customHeight="1">
      <c r="A38" s="17" t="inlineStr">
        <is>
          <t>1001204-LB4</t>
        </is>
      </c>
      <c r="B38" s="18" t="n">
        <v>1001204</v>
      </c>
      <c r="C38" s="17" t="inlineStr">
        <is>
          <t>YIzumi04</t>
        </is>
      </c>
      <c r="D38" s="17" t="inlineStr">
        <is>
          <t>YIzumi</t>
        </is>
      </c>
      <c r="E38" s="17" t="inlineStr">
        <is>
          <t>和泉 ユキ</t>
        </is>
      </c>
      <c r="F38" s="19" t="inlineStr">
        <is>
          <t>夏椿、けうらなる夜光星</t>
        </is>
      </c>
      <c r="G38" s="18" t="inlineStr">
        <is>
          <t>SS</t>
        </is>
      </c>
      <c r="H38" s="17" t="inlineStr">
        <is>
          <t>Breaker</t>
        </is>
      </c>
      <c r="I38" s="18" t="n">
        <v>4</v>
      </c>
      <c r="J38" s="18" t="n">
        <v>4</v>
      </c>
      <c r="K38" s="18" t="n">
        <v>446</v>
      </c>
      <c r="L38" s="18" t="n">
        <v>561</v>
      </c>
      <c r="M38" s="18" t="n">
        <v>488</v>
      </c>
      <c r="N38" s="18" t="n">
        <v>475</v>
      </c>
      <c r="O38" s="18" t="n">
        <v>508</v>
      </c>
      <c r="P38" s="18" t="n">
        <v>476</v>
      </c>
      <c r="Q38" s="18" t="n">
        <v>45</v>
      </c>
      <c r="R38" s="18" t="n">
        <v>57</v>
      </c>
      <c r="S38" s="18" t="n">
        <v>49</v>
      </c>
      <c r="T38" s="18" t="n">
        <v>48</v>
      </c>
      <c r="U38" s="18" t="n">
        <v>51</v>
      </c>
      <c r="V38" s="18" t="n">
        <v>48</v>
      </c>
      <c r="W38" s="20" t="n"/>
      <c r="X38" s="20" t="n"/>
      <c r="Y38" s="20" t="n"/>
      <c r="Z38" s="20" t="n"/>
      <c r="AA38" s="20" t="n"/>
      <c r="AB38" s="20" t="n"/>
      <c r="AC38" s="21">
        <f>IF(W38="","",W38-K38)</f>
        <v/>
      </c>
      <c r="AD38" s="21">
        <f>IF(X38="","",X38-L38)</f>
        <v/>
      </c>
      <c r="AE38" s="21">
        <f>IF(Y38="","",Y38-M38)</f>
        <v/>
      </c>
      <c r="AF38" s="21">
        <f>IF(Z38="","",Z38-N38)</f>
        <v/>
      </c>
      <c r="AG38" s="21">
        <f>IF(AA38="","",AA38-O38)</f>
        <v/>
      </c>
      <c r="AH38" s="21">
        <f>IF(AB38="","",AB38-P38)</f>
        <v/>
      </c>
      <c r="AI38" s="18">
        <f>IF(COUNTA(W38:AB38)=0,"未入力",IF(COUNTA(W38:AB38)&lt;6,"一部入力",IF(COUNTIF(AC38:AH38,0)=6,"一致","差分あり")))</f>
        <v/>
      </c>
      <c r="AJ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" s="19" t="inlineStr"/>
      <c r="AL38" s="18" t="inlineStr">
        <is>
          <t>2026-06-29</t>
        </is>
      </c>
    </row>
    <row r="39" ht="22" customHeight="1">
      <c r="A39" s="17" t="inlineStr">
        <is>
          <t>1001205-LB0</t>
        </is>
      </c>
      <c r="B39" s="18" t="n">
        <v>1001205</v>
      </c>
      <c r="C39" s="17" t="inlineStr">
        <is>
          <t>YIzumi05</t>
        </is>
      </c>
      <c r="D39" s="17" t="inlineStr">
        <is>
          <t>YIzumi</t>
        </is>
      </c>
      <c r="E39" s="17" t="inlineStr">
        <is>
          <t>和泉 ユキ</t>
        </is>
      </c>
      <c r="F39" s="19" t="inlineStr">
        <is>
          <t>ナイトクルーズ・アテンダント</t>
        </is>
      </c>
      <c r="G39" s="18" t="inlineStr">
        <is>
          <t>SS</t>
        </is>
      </c>
      <c r="H39" s="17" t="inlineStr">
        <is>
          <t>Breaker</t>
        </is>
      </c>
      <c r="I39" s="18" t="n">
        <v>0</v>
      </c>
      <c r="J39" s="18" t="n">
        <v>4</v>
      </c>
      <c r="K39" s="18" t="n">
        <v>359</v>
      </c>
      <c r="L39" s="18" t="n">
        <v>466</v>
      </c>
      <c r="M39" s="18" t="n">
        <v>400</v>
      </c>
      <c r="N39" s="18" t="n">
        <v>387</v>
      </c>
      <c r="O39" s="18" t="n">
        <v>419</v>
      </c>
      <c r="P39" s="18" t="n">
        <v>391</v>
      </c>
      <c r="Q39" s="18" t="n">
        <v>36</v>
      </c>
      <c r="R39" s="18" t="n">
        <v>47</v>
      </c>
      <c r="S39" s="18" t="n">
        <v>40</v>
      </c>
      <c r="T39" s="18" t="n">
        <v>39</v>
      </c>
      <c r="U39" s="18" t="n">
        <v>42</v>
      </c>
      <c r="V39" s="18" t="n">
        <v>40</v>
      </c>
      <c r="W39" s="20" t="n"/>
      <c r="X39" s="20" t="n"/>
      <c r="Y39" s="20" t="n"/>
      <c r="Z39" s="20" t="n"/>
      <c r="AA39" s="20" t="n"/>
      <c r="AB39" s="20" t="n"/>
      <c r="AC39" s="21">
        <f>IF(W39="","",W39-K39)</f>
        <v/>
      </c>
      <c r="AD39" s="21">
        <f>IF(X39="","",X39-L39)</f>
        <v/>
      </c>
      <c r="AE39" s="21">
        <f>IF(Y39="","",Y39-M39)</f>
        <v/>
      </c>
      <c r="AF39" s="21">
        <f>IF(Z39="","",Z39-N39)</f>
        <v/>
      </c>
      <c r="AG39" s="21">
        <f>IF(AA39="","",AA39-O39)</f>
        <v/>
      </c>
      <c r="AH39" s="21">
        <f>IF(AB39="","",AB39-P39)</f>
        <v/>
      </c>
      <c r="AI39" s="18">
        <f>IF(COUNTA(W39:AB39)=0,"未入力",IF(COUNTA(W39:AB39)&lt;6,"一部入力",IF(COUNTIF(AC39:AH39,0)=6,"一致","差分あり")))</f>
        <v/>
      </c>
      <c r="AJ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" s="19" t="inlineStr"/>
      <c r="AL39" s="18" t="inlineStr">
        <is>
          <t>2026-06-29</t>
        </is>
      </c>
    </row>
    <row r="40" ht="22" customHeight="1">
      <c r="A40" s="17" t="inlineStr">
        <is>
          <t>1001205-LB4</t>
        </is>
      </c>
      <c r="B40" s="18" t="n">
        <v>1001205</v>
      </c>
      <c r="C40" s="17" t="inlineStr">
        <is>
          <t>YIzumi05</t>
        </is>
      </c>
      <c r="D40" s="17" t="inlineStr">
        <is>
          <t>YIzumi</t>
        </is>
      </c>
      <c r="E40" s="17" t="inlineStr">
        <is>
          <t>和泉 ユキ</t>
        </is>
      </c>
      <c r="F40" s="19" t="inlineStr">
        <is>
          <t>ナイトクルーズ・アテンダント</t>
        </is>
      </c>
      <c r="G40" s="18" t="inlineStr">
        <is>
          <t>SS</t>
        </is>
      </c>
      <c r="H40" s="17" t="inlineStr">
        <is>
          <t>Breaker</t>
        </is>
      </c>
      <c r="I40" s="18" t="n">
        <v>4</v>
      </c>
      <c r="J40" s="18" t="n">
        <v>4</v>
      </c>
      <c r="K40" s="18" t="n">
        <v>446</v>
      </c>
      <c r="L40" s="18" t="n">
        <v>561</v>
      </c>
      <c r="M40" s="18" t="n">
        <v>488</v>
      </c>
      <c r="N40" s="18" t="n">
        <v>475</v>
      </c>
      <c r="O40" s="18" t="n">
        <v>508</v>
      </c>
      <c r="P40" s="18" t="n">
        <v>476</v>
      </c>
      <c r="Q40" s="18" t="n">
        <v>45</v>
      </c>
      <c r="R40" s="18" t="n">
        <v>57</v>
      </c>
      <c r="S40" s="18" t="n">
        <v>49</v>
      </c>
      <c r="T40" s="18" t="n">
        <v>48</v>
      </c>
      <c r="U40" s="18" t="n">
        <v>51</v>
      </c>
      <c r="V40" s="18" t="n">
        <v>48</v>
      </c>
      <c r="W40" s="20" t="n"/>
      <c r="X40" s="20" t="n"/>
      <c r="Y40" s="20" t="n"/>
      <c r="Z40" s="20" t="n"/>
      <c r="AA40" s="20" t="n"/>
      <c r="AB40" s="20" t="n"/>
      <c r="AC40" s="21">
        <f>IF(W40="","",W40-K40)</f>
        <v/>
      </c>
      <c r="AD40" s="21">
        <f>IF(X40="","",X40-L40)</f>
        <v/>
      </c>
      <c r="AE40" s="21">
        <f>IF(Y40="","",Y40-M40)</f>
        <v/>
      </c>
      <c r="AF40" s="21">
        <f>IF(Z40="","",Z40-N40)</f>
        <v/>
      </c>
      <c r="AG40" s="21">
        <f>IF(AA40="","",AA40-O40)</f>
        <v/>
      </c>
      <c r="AH40" s="21">
        <f>IF(AB40="","",AB40-P40)</f>
        <v/>
      </c>
      <c r="AI40" s="18">
        <f>IF(COUNTA(W40:AB40)=0,"未入力",IF(COUNTA(W40:AB40)&lt;6,"一部入力",IF(COUNTIF(AC40:AH40,0)=6,"一致","差分あり")))</f>
        <v/>
      </c>
      <c r="AJ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" s="19" t="inlineStr"/>
      <c r="AL40" s="18" t="inlineStr">
        <is>
          <t>2026-06-29</t>
        </is>
      </c>
    </row>
    <row r="41" ht="22" customHeight="1">
      <c r="A41" s="17" t="inlineStr">
        <is>
          <t>1001206-LB0</t>
        </is>
      </c>
      <c r="B41" s="18" t="n">
        <v>1001206</v>
      </c>
      <c r="C41" s="17" t="inlineStr">
        <is>
          <t>YIzumi06</t>
        </is>
      </c>
      <c r="D41" s="17" t="inlineStr">
        <is>
          <t>YIzumi</t>
        </is>
      </c>
      <c r="E41" s="17" t="inlineStr">
        <is>
          <t>和泉 ユキ</t>
        </is>
      </c>
      <c r="F41" s="19" t="inlineStr">
        <is>
          <t>KETSUの休日</t>
        </is>
      </c>
      <c r="G41" s="18" t="inlineStr">
        <is>
          <t>S</t>
        </is>
      </c>
      <c r="H41" s="17" t="inlineStr">
        <is>
          <t>Breaker</t>
        </is>
      </c>
      <c r="I41" s="18" t="n">
        <v>0</v>
      </c>
      <c r="J41" s="18" t="n">
        <v>10</v>
      </c>
      <c r="K41" s="18" t="n">
        <v>345</v>
      </c>
      <c r="L41" s="18" t="n">
        <v>330</v>
      </c>
      <c r="M41" s="18" t="n">
        <v>307</v>
      </c>
      <c r="N41" s="18" t="n">
        <v>318</v>
      </c>
      <c r="O41" s="18" t="n">
        <v>323</v>
      </c>
      <c r="P41" s="18" t="n">
        <v>342</v>
      </c>
      <c r="Q41" s="18" t="n">
        <v>35</v>
      </c>
      <c r="R41" s="18" t="n">
        <v>33</v>
      </c>
      <c r="S41" s="18" t="n">
        <v>31</v>
      </c>
      <c r="T41" s="18" t="n">
        <v>32</v>
      </c>
      <c r="U41" s="18" t="n">
        <v>33</v>
      </c>
      <c r="V41" s="18" t="n">
        <v>35</v>
      </c>
      <c r="W41" s="20" t="n"/>
      <c r="X41" s="20" t="n"/>
      <c r="Y41" s="20" t="n"/>
      <c r="Z41" s="20" t="n"/>
      <c r="AA41" s="20" t="n"/>
      <c r="AB41" s="20" t="n"/>
      <c r="AC41" s="21">
        <f>IF(W41="","",W41-K41)</f>
        <v/>
      </c>
      <c r="AD41" s="21">
        <f>IF(X41="","",X41-L41)</f>
        <v/>
      </c>
      <c r="AE41" s="21">
        <f>IF(Y41="","",Y41-M41)</f>
        <v/>
      </c>
      <c r="AF41" s="21">
        <f>IF(Z41="","",Z41-N41)</f>
        <v/>
      </c>
      <c r="AG41" s="21">
        <f>IF(AA41="","",AA41-O41)</f>
        <v/>
      </c>
      <c r="AH41" s="21">
        <f>IF(AB41="","",AB41-P41)</f>
        <v/>
      </c>
      <c r="AI41" s="18">
        <f>IF(COUNTA(W41:AB41)=0,"未入力",IF(COUNTA(W41:AB41)&lt;6,"一部入力",IF(COUNTIF(AC41:AH41,0)=6,"一致","差分あり")))</f>
        <v/>
      </c>
      <c r="AJ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" s="19" t="inlineStr"/>
      <c r="AL41" s="18" t="inlineStr">
        <is>
          <t>2026-06-29</t>
        </is>
      </c>
    </row>
    <row r="42" ht="22" customHeight="1">
      <c r="A42" s="17" t="inlineStr">
        <is>
          <t>1001206-LB10</t>
        </is>
      </c>
      <c r="B42" s="18" t="n">
        <v>1001206</v>
      </c>
      <c r="C42" s="17" t="inlineStr">
        <is>
          <t>YIzumi06</t>
        </is>
      </c>
      <c r="D42" s="17" t="inlineStr">
        <is>
          <t>YIzumi</t>
        </is>
      </c>
      <c r="E42" s="17" t="inlineStr">
        <is>
          <t>和泉 ユキ</t>
        </is>
      </c>
      <c r="F42" s="19" t="inlineStr">
        <is>
          <t>KETSUの休日</t>
        </is>
      </c>
      <c r="G42" s="18" t="inlineStr">
        <is>
          <t>S</t>
        </is>
      </c>
      <c r="H42" s="17" t="inlineStr">
        <is>
          <t>Breaker</t>
        </is>
      </c>
      <c r="I42" s="18" t="n">
        <v>10</v>
      </c>
      <c r="J42" s="18" t="n">
        <v>10</v>
      </c>
      <c r="K42" s="18" t="n">
        <v>410</v>
      </c>
      <c r="L42" s="18" t="n">
        <v>401</v>
      </c>
      <c r="M42" s="18" t="n">
        <v>373</v>
      </c>
      <c r="N42" s="18" t="n">
        <v>384</v>
      </c>
      <c r="O42" s="18" t="n">
        <v>389</v>
      </c>
      <c r="P42" s="18" t="n">
        <v>407</v>
      </c>
      <c r="Q42" s="18" t="n">
        <v>41</v>
      </c>
      <c r="R42" s="18" t="n">
        <v>41</v>
      </c>
      <c r="S42" s="18" t="n">
        <v>38</v>
      </c>
      <c r="T42" s="18" t="n">
        <v>39</v>
      </c>
      <c r="U42" s="18" t="n">
        <v>39</v>
      </c>
      <c r="V42" s="18" t="n">
        <v>41</v>
      </c>
      <c r="W42" s="20" t="n"/>
      <c r="X42" s="20" t="n"/>
      <c r="Y42" s="20" t="n"/>
      <c r="Z42" s="20" t="n"/>
      <c r="AA42" s="20" t="n"/>
      <c r="AB42" s="20" t="n"/>
      <c r="AC42" s="21">
        <f>IF(W42="","",W42-K42)</f>
        <v/>
      </c>
      <c r="AD42" s="21">
        <f>IF(X42="","",X42-L42)</f>
        <v/>
      </c>
      <c r="AE42" s="21">
        <f>IF(Y42="","",Y42-M42)</f>
        <v/>
      </c>
      <c r="AF42" s="21">
        <f>IF(Z42="","",Z42-N42)</f>
        <v/>
      </c>
      <c r="AG42" s="21">
        <f>IF(AA42="","",AA42-O42)</f>
        <v/>
      </c>
      <c r="AH42" s="21">
        <f>IF(AB42="","",AB42-P42)</f>
        <v/>
      </c>
      <c r="AI42" s="18">
        <f>IF(COUNTA(W42:AB42)=0,"未入力",IF(COUNTA(W42:AB42)&lt;6,"一部入力",IF(COUNTIF(AC42:AH42,0)=6,"一致","差分あり")))</f>
        <v/>
      </c>
      <c r="AJ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" s="19" t="inlineStr"/>
      <c r="AL42" s="18" t="inlineStr">
        <is>
          <t>2026-06-29</t>
        </is>
      </c>
    </row>
    <row r="43" ht="22" customHeight="1">
      <c r="A43" s="17" t="inlineStr">
        <is>
          <t>1001207-LB0</t>
        </is>
      </c>
      <c r="B43" s="18" t="n">
        <v>1001207</v>
      </c>
      <c r="C43" s="17" t="inlineStr">
        <is>
          <t>YIzumi07</t>
        </is>
      </c>
      <c r="D43" s="17" t="inlineStr">
        <is>
          <t>YIzumi</t>
        </is>
      </c>
      <c r="E43" s="17" t="inlineStr">
        <is>
          <t>和泉 ユキ</t>
        </is>
      </c>
      <c r="F43" s="19" t="inlineStr">
        <is>
          <t>踊るリンカネーション</t>
        </is>
      </c>
      <c r="G43" s="18" t="inlineStr">
        <is>
          <t>SS</t>
        </is>
      </c>
      <c r="H43" s="17" t="inlineStr">
        <is>
          <t>Breaker</t>
        </is>
      </c>
      <c r="I43" s="18" t="n">
        <v>0</v>
      </c>
      <c r="J43" s="18" t="n">
        <v>4</v>
      </c>
      <c r="K43" s="18" t="n">
        <v>359</v>
      </c>
      <c r="L43" s="18" t="n">
        <v>466</v>
      </c>
      <c r="M43" s="18" t="n">
        <v>400</v>
      </c>
      <c r="N43" s="18" t="n">
        <v>387</v>
      </c>
      <c r="O43" s="18" t="n">
        <v>419</v>
      </c>
      <c r="P43" s="18" t="n">
        <v>391</v>
      </c>
      <c r="Q43" s="18" t="n">
        <v>36</v>
      </c>
      <c r="R43" s="18" t="n">
        <v>47</v>
      </c>
      <c r="S43" s="18" t="n">
        <v>40</v>
      </c>
      <c r="T43" s="18" t="n">
        <v>39</v>
      </c>
      <c r="U43" s="18" t="n">
        <v>42</v>
      </c>
      <c r="V43" s="18" t="n">
        <v>40</v>
      </c>
      <c r="W43" s="20" t="n"/>
      <c r="X43" s="20" t="n"/>
      <c r="Y43" s="20" t="n"/>
      <c r="Z43" s="20" t="n"/>
      <c r="AA43" s="20" t="n"/>
      <c r="AB43" s="20" t="n"/>
      <c r="AC43" s="21">
        <f>IF(W43="","",W43-K43)</f>
        <v/>
      </c>
      <c r="AD43" s="21">
        <f>IF(X43="","",X43-L43)</f>
        <v/>
      </c>
      <c r="AE43" s="21">
        <f>IF(Y43="","",Y43-M43)</f>
        <v/>
      </c>
      <c r="AF43" s="21">
        <f>IF(Z43="","",Z43-N43)</f>
        <v/>
      </c>
      <c r="AG43" s="21">
        <f>IF(AA43="","",AA43-O43)</f>
        <v/>
      </c>
      <c r="AH43" s="21">
        <f>IF(AB43="","",AB43-P43)</f>
        <v/>
      </c>
      <c r="AI43" s="18">
        <f>IF(COUNTA(W43:AB43)=0,"未入力",IF(COUNTA(W43:AB43)&lt;6,"一部入力",IF(COUNTIF(AC43:AH43,0)=6,"一致","差分あり")))</f>
        <v/>
      </c>
      <c r="AJ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" s="19" t="inlineStr"/>
      <c r="AL43" s="18" t="inlineStr">
        <is>
          <t>2026-06-29</t>
        </is>
      </c>
    </row>
    <row r="44" ht="22" customHeight="1">
      <c r="A44" s="17" t="inlineStr">
        <is>
          <t>1001207-LB4</t>
        </is>
      </c>
      <c r="B44" s="18" t="n">
        <v>1001207</v>
      </c>
      <c r="C44" s="17" t="inlineStr">
        <is>
          <t>YIzumi07</t>
        </is>
      </c>
      <c r="D44" s="17" t="inlineStr">
        <is>
          <t>YIzumi</t>
        </is>
      </c>
      <c r="E44" s="17" t="inlineStr">
        <is>
          <t>和泉 ユキ</t>
        </is>
      </c>
      <c r="F44" s="19" t="inlineStr">
        <is>
          <t>踊るリンカネーション</t>
        </is>
      </c>
      <c r="G44" s="18" t="inlineStr">
        <is>
          <t>SS</t>
        </is>
      </c>
      <c r="H44" s="17" t="inlineStr">
        <is>
          <t>Breaker</t>
        </is>
      </c>
      <c r="I44" s="18" t="n">
        <v>4</v>
      </c>
      <c r="J44" s="18" t="n">
        <v>4</v>
      </c>
      <c r="K44" s="18" t="n">
        <v>446</v>
      </c>
      <c r="L44" s="18" t="n">
        <v>561</v>
      </c>
      <c r="M44" s="18" t="n">
        <v>488</v>
      </c>
      <c r="N44" s="18" t="n">
        <v>475</v>
      </c>
      <c r="O44" s="18" t="n">
        <v>508</v>
      </c>
      <c r="P44" s="18" t="n">
        <v>476</v>
      </c>
      <c r="Q44" s="18" t="n">
        <v>45</v>
      </c>
      <c r="R44" s="18" t="n">
        <v>57</v>
      </c>
      <c r="S44" s="18" t="n">
        <v>49</v>
      </c>
      <c r="T44" s="18" t="n">
        <v>48</v>
      </c>
      <c r="U44" s="18" t="n">
        <v>51</v>
      </c>
      <c r="V44" s="18" t="n">
        <v>48</v>
      </c>
      <c r="W44" s="20" t="n"/>
      <c r="X44" s="20" t="n"/>
      <c r="Y44" s="20" t="n"/>
      <c r="Z44" s="20" t="n"/>
      <c r="AA44" s="20" t="n"/>
      <c r="AB44" s="20" t="n"/>
      <c r="AC44" s="21">
        <f>IF(W44="","",W44-K44)</f>
        <v/>
      </c>
      <c r="AD44" s="21">
        <f>IF(X44="","",X44-L44)</f>
        <v/>
      </c>
      <c r="AE44" s="21">
        <f>IF(Y44="","",Y44-M44)</f>
        <v/>
      </c>
      <c r="AF44" s="21">
        <f>IF(Z44="","",Z44-N44)</f>
        <v/>
      </c>
      <c r="AG44" s="21">
        <f>IF(AA44="","",AA44-O44)</f>
        <v/>
      </c>
      <c r="AH44" s="21">
        <f>IF(AB44="","",AB44-P44)</f>
        <v/>
      </c>
      <c r="AI44" s="18">
        <f>IF(COUNTA(W44:AB44)=0,"未入力",IF(COUNTA(W44:AB44)&lt;6,"一部入力",IF(COUNTIF(AC44:AH44,0)=6,"一致","差分あり")))</f>
        <v/>
      </c>
      <c r="AJ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" s="19" t="inlineStr"/>
      <c r="AL44" s="18" t="inlineStr">
        <is>
          <t>2026-06-29</t>
        </is>
      </c>
    </row>
    <row r="45" ht="22" customHeight="1">
      <c r="A45" s="17" t="inlineStr">
        <is>
          <t>1001208-LB0</t>
        </is>
      </c>
      <c r="B45" s="18" t="n">
        <v>1001208</v>
      </c>
      <c r="C45" s="17" t="inlineStr">
        <is>
          <t>YIzumi08</t>
        </is>
      </c>
      <c r="D45" s="17" t="inlineStr">
        <is>
          <t>YIzumi</t>
        </is>
      </c>
      <c r="E45" s="17" t="inlineStr">
        <is>
          <t>和泉 ユキ</t>
        </is>
      </c>
      <c r="F45" s="19" t="inlineStr">
        <is>
          <t>君を待つ紅玉</t>
        </is>
      </c>
      <c r="G45" s="18" t="inlineStr">
        <is>
          <t>SS</t>
        </is>
      </c>
      <c r="H45" s="17" t="inlineStr">
        <is>
          <t>Breaker</t>
        </is>
      </c>
      <c r="I45" s="18" t="n">
        <v>0</v>
      </c>
      <c r="J45" s="18" t="n">
        <v>4</v>
      </c>
      <c r="K45" s="18" t="n">
        <v>359</v>
      </c>
      <c r="L45" s="18" t="n">
        <v>466</v>
      </c>
      <c r="M45" s="18" t="n">
        <v>400</v>
      </c>
      <c r="N45" s="18" t="n">
        <v>387</v>
      </c>
      <c r="O45" s="18" t="n">
        <v>419</v>
      </c>
      <c r="P45" s="18" t="n">
        <v>391</v>
      </c>
      <c r="Q45" s="18" t="n">
        <v>36</v>
      </c>
      <c r="R45" s="18" t="n">
        <v>47</v>
      </c>
      <c r="S45" s="18" t="n">
        <v>40</v>
      </c>
      <c r="T45" s="18" t="n">
        <v>39</v>
      </c>
      <c r="U45" s="18" t="n">
        <v>42</v>
      </c>
      <c r="V45" s="18" t="n">
        <v>40</v>
      </c>
      <c r="W45" s="20" t="n"/>
      <c r="X45" s="20" t="n"/>
      <c r="Y45" s="20" t="n"/>
      <c r="Z45" s="20" t="n"/>
      <c r="AA45" s="20" t="n"/>
      <c r="AB45" s="20" t="n"/>
      <c r="AC45" s="21">
        <f>IF(W45="","",W45-K45)</f>
        <v/>
      </c>
      <c r="AD45" s="21">
        <f>IF(X45="","",X45-L45)</f>
        <v/>
      </c>
      <c r="AE45" s="21">
        <f>IF(Y45="","",Y45-M45)</f>
        <v/>
      </c>
      <c r="AF45" s="21">
        <f>IF(Z45="","",Z45-N45)</f>
        <v/>
      </c>
      <c r="AG45" s="21">
        <f>IF(AA45="","",AA45-O45)</f>
        <v/>
      </c>
      <c r="AH45" s="21">
        <f>IF(AB45="","",AB45-P45)</f>
        <v/>
      </c>
      <c r="AI45" s="18">
        <f>IF(COUNTA(W45:AB45)=0,"未入力",IF(COUNTA(W45:AB45)&lt;6,"一部入力",IF(COUNTIF(AC45:AH45,0)=6,"一致","差分あり")))</f>
        <v/>
      </c>
      <c r="AJ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" s="19" t="inlineStr"/>
      <c r="AL45" s="18" t="inlineStr">
        <is>
          <t>2026-06-29</t>
        </is>
      </c>
    </row>
    <row r="46" ht="22" customHeight="1">
      <c r="A46" s="17" t="inlineStr">
        <is>
          <t>1001208-LB4</t>
        </is>
      </c>
      <c r="B46" s="18" t="n">
        <v>1001208</v>
      </c>
      <c r="C46" s="17" t="inlineStr">
        <is>
          <t>YIzumi08</t>
        </is>
      </c>
      <c r="D46" s="17" t="inlineStr">
        <is>
          <t>YIzumi</t>
        </is>
      </c>
      <c r="E46" s="17" t="inlineStr">
        <is>
          <t>和泉 ユキ</t>
        </is>
      </c>
      <c r="F46" s="19" t="inlineStr">
        <is>
          <t>君を待つ紅玉</t>
        </is>
      </c>
      <c r="G46" s="18" t="inlineStr">
        <is>
          <t>SS</t>
        </is>
      </c>
      <c r="H46" s="17" t="inlineStr">
        <is>
          <t>Breaker</t>
        </is>
      </c>
      <c r="I46" s="18" t="n">
        <v>4</v>
      </c>
      <c r="J46" s="18" t="n">
        <v>4</v>
      </c>
      <c r="K46" s="18" t="n">
        <v>446</v>
      </c>
      <c r="L46" s="18" t="n">
        <v>561</v>
      </c>
      <c r="M46" s="18" t="n">
        <v>488</v>
      </c>
      <c r="N46" s="18" t="n">
        <v>475</v>
      </c>
      <c r="O46" s="18" t="n">
        <v>508</v>
      </c>
      <c r="P46" s="18" t="n">
        <v>476</v>
      </c>
      <c r="Q46" s="18" t="n">
        <v>45</v>
      </c>
      <c r="R46" s="18" t="n">
        <v>57</v>
      </c>
      <c r="S46" s="18" t="n">
        <v>49</v>
      </c>
      <c r="T46" s="18" t="n">
        <v>48</v>
      </c>
      <c r="U46" s="18" t="n">
        <v>51</v>
      </c>
      <c r="V46" s="18" t="n">
        <v>48</v>
      </c>
      <c r="W46" s="20" t="n"/>
      <c r="X46" s="20" t="n"/>
      <c r="Y46" s="20" t="n"/>
      <c r="Z46" s="20" t="n"/>
      <c r="AA46" s="20" t="n"/>
      <c r="AB46" s="20" t="n"/>
      <c r="AC46" s="21">
        <f>IF(W46="","",W46-K46)</f>
        <v/>
      </c>
      <c r="AD46" s="21">
        <f>IF(X46="","",X46-L46)</f>
        <v/>
      </c>
      <c r="AE46" s="21">
        <f>IF(Y46="","",Y46-M46)</f>
        <v/>
      </c>
      <c r="AF46" s="21">
        <f>IF(Z46="","",Z46-N46)</f>
        <v/>
      </c>
      <c r="AG46" s="21">
        <f>IF(AA46="","",AA46-O46)</f>
        <v/>
      </c>
      <c r="AH46" s="21">
        <f>IF(AB46="","",AB46-P46)</f>
        <v/>
      </c>
      <c r="AI46" s="18">
        <f>IF(COUNTA(W46:AB46)=0,"未入力",IF(COUNTA(W46:AB46)&lt;6,"一部入力",IF(COUNTIF(AC46:AH46,0)=6,"一致","差分あり")))</f>
        <v/>
      </c>
      <c r="AJ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" s="19" t="inlineStr"/>
      <c r="AL46" s="18" t="inlineStr">
        <is>
          <t>2026-06-29</t>
        </is>
      </c>
    </row>
    <row r="47" ht="22" customHeight="1">
      <c r="A47" s="17" t="inlineStr">
        <is>
          <t>1001209-LB0</t>
        </is>
      </c>
      <c r="B47" s="18" t="n">
        <v>1001209</v>
      </c>
      <c r="C47" s="17" t="inlineStr">
        <is>
          <t>YIzumi09</t>
        </is>
      </c>
      <c r="D47" s="17" t="inlineStr">
        <is>
          <t>YIzumi</t>
        </is>
      </c>
      <c r="E47" s="17" t="inlineStr">
        <is>
          <t>和泉 ユキ</t>
        </is>
      </c>
      <c r="F47" s="19" t="inlineStr">
        <is>
          <t>傍らのプリンセス</t>
        </is>
      </c>
      <c r="G47" s="18" t="inlineStr">
        <is>
          <t>SSR</t>
        </is>
      </c>
      <c r="H47" s="17" t="inlineStr">
        <is>
          <t>Breaker</t>
        </is>
      </c>
      <c r="I47" s="18" t="n">
        <v>0</v>
      </c>
      <c r="J47" s="18" t="n">
        <v>4</v>
      </c>
      <c r="K47" s="18" t="n">
        <v>359</v>
      </c>
      <c r="L47" s="18" t="n">
        <v>466</v>
      </c>
      <c r="M47" s="18" t="n">
        <v>400</v>
      </c>
      <c r="N47" s="18" t="n">
        <v>387</v>
      </c>
      <c r="O47" s="18" t="n">
        <v>419</v>
      </c>
      <c r="P47" s="18" t="n">
        <v>391</v>
      </c>
      <c r="Q47" s="18" t="n">
        <v>36</v>
      </c>
      <c r="R47" s="18" t="n">
        <v>47</v>
      </c>
      <c r="S47" s="18" t="n">
        <v>40</v>
      </c>
      <c r="T47" s="18" t="n">
        <v>39</v>
      </c>
      <c r="U47" s="18" t="n">
        <v>42</v>
      </c>
      <c r="V47" s="18" t="n">
        <v>40</v>
      </c>
      <c r="W47" s="20" t="n"/>
      <c r="X47" s="20" t="n"/>
      <c r="Y47" s="20" t="n"/>
      <c r="Z47" s="20" t="n"/>
      <c r="AA47" s="20" t="n"/>
      <c r="AB47" s="20" t="n"/>
      <c r="AC47" s="21">
        <f>IF(W47="","",W47-K47)</f>
        <v/>
      </c>
      <c r="AD47" s="21">
        <f>IF(X47="","",X47-L47)</f>
        <v/>
      </c>
      <c r="AE47" s="21">
        <f>IF(Y47="","",Y47-M47)</f>
        <v/>
      </c>
      <c r="AF47" s="21">
        <f>IF(Z47="","",Z47-N47)</f>
        <v/>
      </c>
      <c r="AG47" s="21">
        <f>IF(AA47="","",AA47-O47)</f>
        <v/>
      </c>
      <c r="AH47" s="21">
        <f>IF(AB47="","",AB47-P47)</f>
        <v/>
      </c>
      <c r="AI47" s="18">
        <f>IF(COUNTA(W47:AB47)=0,"未入力",IF(COUNTA(W47:AB47)&lt;6,"一部入力",IF(COUNTIF(AC47:AH47,0)=6,"一致","差分あり")))</f>
        <v/>
      </c>
      <c r="AJ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" s="19" t="inlineStr"/>
      <c r="AL47" s="18" t="inlineStr">
        <is>
          <t>2026-06-29</t>
        </is>
      </c>
    </row>
    <row r="48" ht="22" customHeight="1">
      <c r="A48" s="17" t="inlineStr">
        <is>
          <t>1001209-LB4</t>
        </is>
      </c>
      <c r="B48" s="18" t="n">
        <v>1001209</v>
      </c>
      <c r="C48" s="17" t="inlineStr">
        <is>
          <t>YIzumi09</t>
        </is>
      </c>
      <c r="D48" s="17" t="inlineStr">
        <is>
          <t>YIzumi</t>
        </is>
      </c>
      <c r="E48" s="17" t="inlineStr">
        <is>
          <t>和泉 ユキ</t>
        </is>
      </c>
      <c r="F48" s="19" t="inlineStr">
        <is>
          <t>傍らのプリンセス</t>
        </is>
      </c>
      <c r="G48" s="18" t="inlineStr">
        <is>
          <t>SSR</t>
        </is>
      </c>
      <c r="H48" s="17" t="inlineStr">
        <is>
          <t>Breaker</t>
        </is>
      </c>
      <c r="I48" s="18" t="n">
        <v>4</v>
      </c>
      <c r="J48" s="18" t="n">
        <v>4</v>
      </c>
      <c r="K48" s="18" t="n">
        <v>446</v>
      </c>
      <c r="L48" s="18" t="n">
        <v>561</v>
      </c>
      <c r="M48" s="18" t="n">
        <v>488</v>
      </c>
      <c r="N48" s="18" t="n">
        <v>475</v>
      </c>
      <c r="O48" s="18" t="n">
        <v>508</v>
      </c>
      <c r="P48" s="18" t="n">
        <v>476</v>
      </c>
      <c r="Q48" s="18" t="n">
        <v>45</v>
      </c>
      <c r="R48" s="18" t="n">
        <v>57</v>
      </c>
      <c r="S48" s="18" t="n">
        <v>49</v>
      </c>
      <c r="T48" s="18" t="n">
        <v>48</v>
      </c>
      <c r="U48" s="18" t="n">
        <v>51</v>
      </c>
      <c r="V48" s="18" t="n">
        <v>48</v>
      </c>
      <c r="W48" s="20" t="n"/>
      <c r="X48" s="20" t="n"/>
      <c r="Y48" s="20" t="n"/>
      <c r="Z48" s="20" t="n"/>
      <c r="AA48" s="20" t="n"/>
      <c r="AB48" s="20" t="n"/>
      <c r="AC48" s="21">
        <f>IF(W48="","",W48-K48)</f>
        <v/>
      </c>
      <c r="AD48" s="21">
        <f>IF(X48="","",X48-L48)</f>
        <v/>
      </c>
      <c r="AE48" s="21">
        <f>IF(Y48="","",Y48-M48)</f>
        <v/>
      </c>
      <c r="AF48" s="21">
        <f>IF(Z48="","",Z48-N48)</f>
        <v/>
      </c>
      <c r="AG48" s="21">
        <f>IF(AA48="","",AA48-O48)</f>
        <v/>
      </c>
      <c r="AH48" s="21">
        <f>IF(AB48="","",AB48-P48)</f>
        <v/>
      </c>
      <c r="AI48" s="18">
        <f>IF(COUNTA(W48:AB48)=0,"未入力",IF(COUNTA(W48:AB48)&lt;6,"一部入力",IF(COUNTIF(AC48:AH48,0)=6,"一致","差分あり")))</f>
        <v/>
      </c>
      <c r="AJ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" s="19" t="inlineStr"/>
      <c r="AL48" s="18" t="inlineStr">
        <is>
          <t>2026-06-29</t>
        </is>
      </c>
    </row>
    <row r="49" ht="22" customHeight="1">
      <c r="A49" s="17" t="inlineStr">
        <is>
          <t>1001301-LB0</t>
        </is>
      </c>
      <c r="B49" s="18" t="n">
        <v>1001301</v>
      </c>
      <c r="C49" s="17" t="inlineStr">
        <is>
          <t>MAikawa01</t>
        </is>
      </c>
      <c r="D49" s="17" t="inlineStr">
        <is>
          <t>MAikawa</t>
        </is>
      </c>
      <c r="E49" s="17" t="inlineStr">
        <is>
          <t>逢川 めぐみ</t>
        </is>
      </c>
      <c r="F49" s="19" t="inlineStr">
        <is>
          <t>Plain or Wild</t>
        </is>
      </c>
      <c r="G49" s="18" t="inlineStr">
        <is>
          <t>A</t>
        </is>
      </c>
      <c r="H49" s="17" t="inlineStr">
        <is>
          <t>Debuffer</t>
        </is>
      </c>
      <c r="I49" s="18" t="n">
        <v>0</v>
      </c>
      <c r="J49" s="18" t="n">
        <v>20</v>
      </c>
      <c r="K49" s="18" t="n">
        <v>245</v>
      </c>
      <c r="L49" s="18" t="n">
        <v>294</v>
      </c>
      <c r="M49" s="18" t="n">
        <v>288</v>
      </c>
      <c r="N49" s="18" t="n">
        <v>250</v>
      </c>
      <c r="O49" s="18" t="n">
        <v>298</v>
      </c>
      <c r="P49" s="18" t="n">
        <v>272</v>
      </c>
      <c r="Q49" s="18" t="n">
        <v>25</v>
      </c>
      <c r="R49" s="18" t="n">
        <v>30</v>
      </c>
      <c r="S49" s="18" t="n">
        <v>29</v>
      </c>
      <c r="T49" s="18" t="n">
        <v>25</v>
      </c>
      <c r="U49" s="18" t="n">
        <v>30</v>
      </c>
      <c r="V49" s="18" t="n">
        <v>28</v>
      </c>
      <c r="W49" s="20" t="n"/>
      <c r="X49" s="20" t="n"/>
      <c r="Y49" s="20" t="n"/>
      <c r="Z49" s="20" t="n"/>
      <c r="AA49" s="20" t="n"/>
      <c r="AB49" s="20" t="n"/>
      <c r="AC49" s="21">
        <f>IF(W49="","",W49-K49)</f>
        <v/>
      </c>
      <c r="AD49" s="21">
        <f>IF(X49="","",X49-L49)</f>
        <v/>
      </c>
      <c r="AE49" s="21">
        <f>IF(Y49="","",Y49-M49)</f>
        <v/>
      </c>
      <c r="AF49" s="21">
        <f>IF(Z49="","",Z49-N49)</f>
        <v/>
      </c>
      <c r="AG49" s="21">
        <f>IF(AA49="","",AA49-O49)</f>
        <v/>
      </c>
      <c r="AH49" s="21">
        <f>IF(AB49="","",AB49-P49)</f>
        <v/>
      </c>
      <c r="AI49" s="18">
        <f>IF(COUNTA(W49:AB49)=0,"未入力",IF(COUNTA(W49:AB49)&lt;6,"一部入力",IF(COUNTIF(AC49:AH49,0)=6,"一致","差分あり")))</f>
        <v/>
      </c>
      <c r="AJ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" s="19" t="inlineStr"/>
      <c r="AL49" s="18" t="inlineStr">
        <is>
          <t>2026-06-29</t>
        </is>
      </c>
    </row>
    <row r="50" ht="22" customHeight="1">
      <c r="A50" s="17" t="inlineStr">
        <is>
          <t>1001301-LB20</t>
        </is>
      </c>
      <c r="B50" s="18" t="n">
        <v>1001301</v>
      </c>
      <c r="C50" s="17" t="inlineStr">
        <is>
          <t>MAikawa01</t>
        </is>
      </c>
      <c r="D50" s="17" t="inlineStr">
        <is>
          <t>MAikawa</t>
        </is>
      </c>
      <c r="E50" s="17" t="inlineStr">
        <is>
          <t>逢川 めぐみ</t>
        </is>
      </c>
      <c r="F50" s="19" t="inlineStr">
        <is>
          <t>Plain or Wild</t>
        </is>
      </c>
      <c r="G50" s="18" t="inlineStr">
        <is>
          <t>A</t>
        </is>
      </c>
      <c r="H50" s="17" t="inlineStr">
        <is>
          <t>Debuffer</t>
        </is>
      </c>
      <c r="I50" s="18" t="n">
        <v>20</v>
      </c>
      <c r="J50" s="18" t="n">
        <v>20</v>
      </c>
      <c r="K50" s="18" t="n">
        <v>289</v>
      </c>
      <c r="L50" s="18" t="n">
        <v>340</v>
      </c>
      <c r="M50" s="18" t="n">
        <v>333</v>
      </c>
      <c r="N50" s="18" t="n">
        <v>294</v>
      </c>
      <c r="O50" s="18" t="n">
        <v>343</v>
      </c>
      <c r="P50" s="18" t="n">
        <v>314</v>
      </c>
      <c r="Q50" s="18" t="n">
        <v>29</v>
      </c>
      <c r="R50" s="18" t="n">
        <v>34</v>
      </c>
      <c r="S50" s="18" t="n">
        <v>34</v>
      </c>
      <c r="T50" s="18" t="n">
        <v>30</v>
      </c>
      <c r="U50" s="18" t="n">
        <v>35</v>
      </c>
      <c r="V50" s="18" t="n">
        <v>32</v>
      </c>
      <c r="W50" s="20" t="n"/>
      <c r="X50" s="20" t="n"/>
      <c r="Y50" s="20" t="n"/>
      <c r="Z50" s="20" t="n"/>
      <c r="AA50" s="20" t="n"/>
      <c r="AB50" s="20" t="n"/>
      <c r="AC50" s="21">
        <f>IF(W50="","",W50-K50)</f>
        <v/>
      </c>
      <c r="AD50" s="21">
        <f>IF(X50="","",X50-L50)</f>
        <v/>
      </c>
      <c r="AE50" s="21">
        <f>IF(Y50="","",Y50-M50)</f>
        <v/>
      </c>
      <c r="AF50" s="21">
        <f>IF(Z50="","",Z50-N50)</f>
        <v/>
      </c>
      <c r="AG50" s="21">
        <f>IF(AA50="","",AA50-O50)</f>
        <v/>
      </c>
      <c r="AH50" s="21">
        <f>IF(AB50="","",AB50-P50)</f>
        <v/>
      </c>
      <c r="AI50" s="18">
        <f>IF(COUNTA(W50:AB50)=0,"未入力",IF(COUNTA(W50:AB50)&lt;6,"一部入力",IF(COUNTIF(AC50:AH50,0)=6,"一致","差分あり")))</f>
        <v/>
      </c>
      <c r="AJ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" s="19" t="inlineStr"/>
      <c r="AL50" s="18" t="inlineStr">
        <is>
          <t>2026-06-29</t>
        </is>
      </c>
    </row>
    <row r="51" ht="22" customHeight="1">
      <c r="A51" s="17" t="inlineStr">
        <is>
          <t>1001302-LB0</t>
        </is>
      </c>
      <c r="B51" s="18" t="n">
        <v>1001302</v>
      </c>
      <c r="C51" s="17" t="inlineStr">
        <is>
          <t>MAikawa02</t>
        </is>
      </c>
      <c r="D51" s="17" t="inlineStr">
        <is>
          <t>MAikawa</t>
        </is>
      </c>
      <c r="E51" s="17" t="inlineStr">
        <is>
          <t>逢川 めぐみ</t>
        </is>
      </c>
      <c r="F51" s="19" t="inlineStr">
        <is>
          <t>Impact Stream</t>
        </is>
      </c>
      <c r="G51" s="18" t="inlineStr">
        <is>
          <t>S</t>
        </is>
      </c>
      <c r="H51" s="17" t="inlineStr">
        <is>
          <t>Debuffer</t>
        </is>
      </c>
      <c r="I51" s="18" t="n">
        <v>0</v>
      </c>
      <c r="J51" s="18" t="n">
        <v>10</v>
      </c>
      <c r="K51" s="18" t="n">
        <v>345</v>
      </c>
      <c r="L51" s="18" t="n">
        <v>311</v>
      </c>
      <c r="M51" s="18" t="n">
        <v>315</v>
      </c>
      <c r="N51" s="18" t="n">
        <v>321</v>
      </c>
      <c r="O51" s="18" t="n">
        <v>325</v>
      </c>
      <c r="P51" s="18" t="n">
        <v>341</v>
      </c>
      <c r="Q51" s="18" t="n">
        <v>35</v>
      </c>
      <c r="R51" s="18" t="n">
        <v>32</v>
      </c>
      <c r="S51" s="18" t="n">
        <v>32</v>
      </c>
      <c r="T51" s="18" t="n">
        <v>33</v>
      </c>
      <c r="U51" s="18" t="n">
        <v>33</v>
      </c>
      <c r="V51" s="18" t="n">
        <v>35</v>
      </c>
      <c r="W51" s="20" t="n"/>
      <c r="X51" s="20" t="n"/>
      <c r="Y51" s="20" t="n"/>
      <c r="Z51" s="20" t="n"/>
      <c r="AA51" s="20" t="n"/>
      <c r="AB51" s="20" t="n"/>
      <c r="AC51" s="21">
        <f>IF(W51="","",W51-K51)</f>
        <v/>
      </c>
      <c r="AD51" s="21">
        <f>IF(X51="","",X51-L51)</f>
        <v/>
      </c>
      <c r="AE51" s="21">
        <f>IF(Y51="","",Y51-M51)</f>
        <v/>
      </c>
      <c r="AF51" s="21">
        <f>IF(Z51="","",Z51-N51)</f>
        <v/>
      </c>
      <c r="AG51" s="21">
        <f>IF(AA51="","",AA51-O51)</f>
        <v/>
      </c>
      <c r="AH51" s="21">
        <f>IF(AB51="","",AB51-P51)</f>
        <v/>
      </c>
      <c r="AI51" s="18">
        <f>IF(COUNTA(W51:AB51)=0,"未入力",IF(COUNTA(W51:AB51)&lt;6,"一部入力",IF(COUNTIF(AC51:AH51,0)=6,"一致","差分あり")))</f>
        <v/>
      </c>
      <c r="AJ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" s="19" t="inlineStr"/>
      <c r="AL51" s="18" t="inlineStr">
        <is>
          <t>2026-06-29</t>
        </is>
      </c>
    </row>
    <row r="52" ht="22" customHeight="1">
      <c r="A52" s="17" t="inlineStr">
        <is>
          <t>1001302-LB10</t>
        </is>
      </c>
      <c r="B52" s="18" t="n">
        <v>1001302</v>
      </c>
      <c r="C52" s="17" t="inlineStr">
        <is>
          <t>MAikawa02</t>
        </is>
      </c>
      <c r="D52" s="17" t="inlineStr">
        <is>
          <t>MAikawa</t>
        </is>
      </c>
      <c r="E52" s="17" t="inlineStr">
        <is>
          <t>逢川 めぐみ</t>
        </is>
      </c>
      <c r="F52" s="19" t="inlineStr">
        <is>
          <t>Impact Stream</t>
        </is>
      </c>
      <c r="G52" s="18" t="inlineStr">
        <is>
          <t>S</t>
        </is>
      </c>
      <c r="H52" s="17" t="inlineStr">
        <is>
          <t>Debuffer</t>
        </is>
      </c>
      <c r="I52" s="18" t="n">
        <v>10</v>
      </c>
      <c r="J52" s="18" t="n">
        <v>10</v>
      </c>
      <c r="K52" s="18" t="n">
        <v>414</v>
      </c>
      <c r="L52" s="18" t="n">
        <v>378</v>
      </c>
      <c r="M52" s="18" t="n">
        <v>383</v>
      </c>
      <c r="N52" s="18" t="n">
        <v>388</v>
      </c>
      <c r="O52" s="18" t="n">
        <v>393</v>
      </c>
      <c r="P52" s="18" t="n">
        <v>405</v>
      </c>
      <c r="Q52" s="18" t="n">
        <v>42</v>
      </c>
      <c r="R52" s="18" t="n">
        <v>38</v>
      </c>
      <c r="S52" s="18" t="n">
        <v>39</v>
      </c>
      <c r="T52" s="18" t="n">
        <v>39</v>
      </c>
      <c r="U52" s="18" t="n">
        <v>40</v>
      </c>
      <c r="V52" s="18" t="n">
        <v>41</v>
      </c>
      <c r="W52" s="20" t="n"/>
      <c r="X52" s="20" t="n"/>
      <c r="Y52" s="20" t="n"/>
      <c r="Z52" s="20" t="n"/>
      <c r="AA52" s="20" t="n"/>
      <c r="AB52" s="20" t="n"/>
      <c r="AC52" s="21">
        <f>IF(W52="","",W52-K52)</f>
        <v/>
      </c>
      <c r="AD52" s="21">
        <f>IF(X52="","",X52-L52)</f>
        <v/>
      </c>
      <c r="AE52" s="21">
        <f>IF(Y52="","",Y52-M52)</f>
        <v/>
      </c>
      <c r="AF52" s="21">
        <f>IF(Z52="","",Z52-N52)</f>
        <v/>
      </c>
      <c r="AG52" s="21">
        <f>IF(AA52="","",AA52-O52)</f>
        <v/>
      </c>
      <c r="AH52" s="21">
        <f>IF(AB52="","",AB52-P52)</f>
        <v/>
      </c>
      <c r="AI52" s="18">
        <f>IF(COUNTA(W52:AB52)=0,"未入力",IF(COUNTA(W52:AB52)&lt;6,"一部入力",IF(COUNTIF(AC52:AH52,0)=6,"一致","差分あり")))</f>
        <v/>
      </c>
      <c r="AJ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" s="19" t="inlineStr"/>
      <c r="AL52" s="18" t="inlineStr">
        <is>
          <t>2026-06-29</t>
        </is>
      </c>
    </row>
    <row r="53" ht="22" customHeight="1">
      <c r="A53" s="17" t="inlineStr">
        <is>
          <t>1001303-LB0</t>
        </is>
      </c>
      <c r="B53" s="18" t="n">
        <v>1001303</v>
      </c>
      <c r="C53" s="17" t="inlineStr">
        <is>
          <t>MAikawa03</t>
        </is>
      </c>
      <c r="D53" s="17" t="inlineStr">
        <is>
          <t>MAikawa</t>
        </is>
      </c>
      <c r="E53" s="17" t="inlineStr">
        <is>
          <t>逢川 めぐみ</t>
        </is>
      </c>
      <c r="F53" s="19" t="inlineStr">
        <is>
          <t>Ikki Burst Strike</t>
        </is>
      </c>
      <c r="G53" s="18" t="inlineStr">
        <is>
          <t>SS</t>
        </is>
      </c>
      <c r="H53" s="17" t="inlineStr">
        <is>
          <t>Debuffer</t>
        </is>
      </c>
      <c r="I53" s="18" t="n">
        <v>0</v>
      </c>
      <c r="J53" s="18" t="n">
        <v>4</v>
      </c>
      <c r="K53" s="18" t="n">
        <v>375</v>
      </c>
      <c r="L53" s="18" t="n">
        <v>383</v>
      </c>
      <c r="M53" s="18" t="n">
        <v>424</v>
      </c>
      <c r="N53" s="18" t="n">
        <v>395</v>
      </c>
      <c r="O53" s="18" t="n">
        <v>373</v>
      </c>
      <c r="P53" s="18" t="n">
        <v>334</v>
      </c>
      <c r="Q53" s="18" t="n">
        <v>38</v>
      </c>
      <c r="R53" s="18" t="n">
        <v>39</v>
      </c>
      <c r="S53" s="18" t="n">
        <v>43</v>
      </c>
      <c r="T53" s="18" t="n">
        <v>40</v>
      </c>
      <c r="U53" s="18" t="n">
        <v>38</v>
      </c>
      <c r="V53" s="18" t="n">
        <v>34</v>
      </c>
      <c r="W53" s="20" t="n"/>
      <c r="X53" s="20" t="n"/>
      <c r="Y53" s="20" t="n"/>
      <c r="Z53" s="20" t="n"/>
      <c r="AA53" s="20" t="n"/>
      <c r="AB53" s="20" t="n"/>
      <c r="AC53" s="21">
        <f>IF(W53="","",W53-K53)</f>
        <v/>
      </c>
      <c r="AD53" s="21">
        <f>IF(X53="","",X53-L53)</f>
        <v/>
      </c>
      <c r="AE53" s="21">
        <f>IF(Y53="","",Y53-M53)</f>
        <v/>
      </c>
      <c r="AF53" s="21">
        <f>IF(Z53="","",Z53-N53)</f>
        <v/>
      </c>
      <c r="AG53" s="21">
        <f>IF(AA53="","",AA53-O53)</f>
        <v/>
      </c>
      <c r="AH53" s="21">
        <f>IF(AB53="","",AB53-P53)</f>
        <v/>
      </c>
      <c r="AI53" s="18">
        <f>IF(COUNTA(W53:AB53)=0,"未入力",IF(COUNTA(W53:AB53)&lt;6,"一部入力",IF(COUNTIF(AC53:AH53,0)=6,"一致","差分あり")))</f>
        <v/>
      </c>
      <c r="AJ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" s="19" t="inlineStr"/>
      <c r="AL53" s="18" t="inlineStr">
        <is>
          <t>2026-06-29</t>
        </is>
      </c>
    </row>
    <row r="54" ht="22" customHeight="1">
      <c r="A54" s="17" t="inlineStr">
        <is>
          <t>1001303-LB4</t>
        </is>
      </c>
      <c r="B54" s="18" t="n">
        <v>1001303</v>
      </c>
      <c r="C54" s="17" t="inlineStr">
        <is>
          <t>MAikawa03</t>
        </is>
      </c>
      <c r="D54" s="17" t="inlineStr">
        <is>
          <t>MAikawa</t>
        </is>
      </c>
      <c r="E54" s="17" t="inlineStr">
        <is>
          <t>逢川 めぐみ</t>
        </is>
      </c>
      <c r="F54" s="19" t="inlineStr">
        <is>
          <t>Ikki Burst Strike</t>
        </is>
      </c>
      <c r="G54" s="18" t="inlineStr">
        <is>
          <t>SS</t>
        </is>
      </c>
      <c r="H54" s="17" t="inlineStr">
        <is>
          <t>Debuffer</t>
        </is>
      </c>
      <c r="I54" s="18" t="n">
        <v>4</v>
      </c>
      <c r="J54" s="18" t="n">
        <v>4</v>
      </c>
      <c r="K54" s="18" t="n">
        <v>463</v>
      </c>
      <c r="L54" s="18" t="n">
        <v>472</v>
      </c>
      <c r="M54" s="18" t="n">
        <v>514</v>
      </c>
      <c r="N54" s="18" t="n">
        <v>483</v>
      </c>
      <c r="O54" s="18" t="n">
        <v>463</v>
      </c>
      <c r="P54" s="18" t="n">
        <v>419</v>
      </c>
      <c r="Q54" s="18" t="n">
        <v>47</v>
      </c>
      <c r="R54" s="18" t="n">
        <v>48</v>
      </c>
      <c r="S54" s="18" t="n">
        <v>52</v>
      </c>
      <c r="T54" s="18" t="n">
        <v>49</v>
      </c>
      <c r="U54" s="18" t="n">
        <v>47</v>
      </c>
      <c r="V54" s="18" t="n">
        <v>42</v>
      </c>
      <c r="W54" s="20" t="n"/>
      <c r="X54" s="20" t="n"/>
      <c r="Y54" s="20" t="n"/>
      <c r="Z54" s="20" t="n"/>
      <c r="AA54" s="20" t="n"/>
      <c r="AB54" s="20" t="n"/>
      <c r="AC54" s="21">
        <f>IF(W54="","",W54-K54)</f>
        <v/>
      </c>
      <c r="AD54" s="21">
        <f>IF(X54="","",X54-L54)</f>
        <v/>
      </c>
      <c r="AE54" s="21">
        <f>IF(Y54="","",Y54-M54)</f>
        <v/>
      </c>
      <c r="AF54" s="21">
        <f>IF(Z54="","",Z54-N54)</f>
        <v/>
      </c>
      <c r="AG54" s="21">
        <f>IF(AA54="","",AA54-O54)</f>
        <v/>
      </c>
      <c r="AH54" s="21">
        <f>IF(AB54="","",AB54-P54)</f>
        <v/>
      </c>
      <c r="AI54" s="18">
        <f>IF(COUNTA(W54:AB54)=0,"未入力",IF(COUNTA(W54:AB54)&lt;6,"一部入力",IF(COUNTIF(AC54:AH54,0)=6,"一致","差分あり")))</f>
        <v/>
      </c>
      <c r="AJ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" s="19" t="inlineStr"/>
      <c r="AL54" s="18" t="inlineStr">
        <is>
          <t>2026-06-29</t>
        </is>
      </c>
    </row>
    <row r="55" ht="22" customHeight="1">
      <c r="A55" s="17" t="inlineStr">
        <is>
          <t>1001305-LB0</t>
        </is>
      </c>
      <c r="B55" s="18" t="n">
        <v>1001305</v>
      </c>
      <c r="C55" s="17" t="inlineStr">
        <is>
          <t>MAikawa05</t>
        </is>
      </c>
      <c r="D55" s="17" t="inlineStr">
        <is>
          <t>MAikawa</t>
        </is>
      </c>
      <c r="E55" s="17" t="inlineStr">
        <is>
          <t>逢川 めぐみ</t>
        </is>
      </c>
      <c r="F55" s="19" t="inlineStr">
        <is>
          <t>一夜の夢</t>
        </is>
      </c>
      <c r="G55" s="18" t="inlineStr">
        <is>
          <t>SS</t>
        </is>
      </c>
      <c r="H55" s="17" t="inlineStr">
        <is>
          <t>Debuffer</t>
        </is>
      </c>
      <c r="I55" s="18" t="n">
        <v>0</v>
      </c>
      <c r="J55" s="18" t="n">
        <v>4</v>
      </c>
      <c r="K55" s="18" t="n">
        <v>362</v>
      </c>
      <c r="L55" s="18" t="n">
        <v>441</v>
      </c>
      <c r="M55" s="18" t="n">
        <v>410</v>
      </c>
      <c r="N55" s="18" t="n">
        <v>391</v>
      </c>
      <c r="O55" s="18" t="n">
        <v>422</v>
      </c>
      <c r="P55" s="18" t="n">
        <v>389</v>
      </c>
      <c r="Q55" s="18" t="n">
        <v>37</v>
      </c>
      <c r="R55" s="18" t="n">
        <v>45</v>
      </c>
      <c r="S55" s="18" t="n">
        <v>41</v>
      </c>
      <c r="T55" s="18" t="n">
        <v>40</v>
      </c>
      <c r="U55" s="18" t="n">
        <v>43</v>
      </c>
      <c r="V55" s="18" t="n">
        <v>39</v>
      </c>
      <c r="W55" s="20" t="n"/>
      <c r="X55" s="20" t="n"/>
      <c r="Y55" s="20" t="n"/>
      <c r="Z55" s="20" t="n"/>
      <c r="AA55" s="20" t="n"/>
      <c r="AB55" s="20" t="n"/>
      <c r="AC55" s="21">
        <f>IF(W55="","",W55-K55)</f>
        <v/>
      </c>
      <c r="AD55" s="21">
        <f>IF(X55="","",X55-L55)</f>
        <v/>
      </c>
      <c r="AE55" s="21">
        <f>IF(Y55="","",Y55-M55)</f>
        <v/>
      </c>
      <c r="AF55" s="21">
        <f>IF(Z55="","",Z55-N55)</f>
        <v/>
      </c>
      <c r="AG55" s="21">
        <f>IF(AA55="","",AA55-O55)</f>
        <v/>
      </c>
      <c r="AH55" s="21">
        <f>IF(AB55="","",AB55-P55)</f>
        <v/>
      </c>
      <c r="AI55" s="18">
        <f>IF(COUNTA(W55:AB55)=0,"未入力",IF(COUNTA(W55:AB55)&lt;6,"一部入力",IF(COUNTIF(AC55:AH55,0)=6,"一致","差分あり")))</f>
        <v/>
      </c>
      <c r="AJ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" s="19" t="inlineStr"/>
      <c r="AL55" s="18" t="inlineStr">
        <is>
          <t>2026-06-29</t>
        </is>
      </c>
    </row>
    <row r="56" ht="22" customHeight="1">
      <c r="A56" s="17" t="inlineStr">
        <is>
          <t>1001305-LB4</t>
        </is>
      </c>
      <c r="B56" s="18" t="n">
        <v>1001305</v>
      </c>
      <c r="C56" s="17" t="inlineStr">
        <is>
          <t>MAikawa05</t>
        </is>
      </c>
      <c r="D56" s="17" t="inlineStr">
        <is>
          <t>MAikawa</t>
        </is>
      </c>
      <c r="E56" s="17" t="inlineStr">
        <is>
          <t>逢川 めぐみ</t>
        </is>
      </c>
      <c r="F56" s="19" t="inlineStr">
        <is>
          <t>一夜の夢</t>
        </is>
      </c>
      <c r="G56" s="18" t="inlineStr">
        <is>
          <t>SS</t>
        </is>
      </c>
      <c r="H56" s="17" t="inlineStr">
        <is>
          <t>Debuffer</t>
        </is>
      </c>
      <c r="I56" s="18" t="n">
        <v>4</v>
      </c>
      <c r="J56" s="18" t="n">
        <v>4</v>
      </c>
      <c r="K56" s="18" t="n">
        <v>450</v>
      </c>
      <c r="L56" s="18" t="n">
        <v>530</v>
      </c>
      <c r="M56" s="18" t="n">
        <v>501</v>
      </c>
      <c r="N56" s="18" t="n">
        <v>479</v>
      </c>
      <c r="O56" s="18" t="n">
        <v>512</v>
      </c>
      <c r="P56" s="18" t="n">
        <v>474</v>
      </c>
      <c r="Q56" s="18" t="n">
        <v>45</v>
      </c>
      <c r="R56" s="18" t="n">
        <v>53</v>
      </c>
      <c r="S56" s="18" t="n">
        <v>51</v>
      </c>
      <c r="T56" s="18" t="n">
        <v>48</v>
      </c>
      <c r="U56" s="18" t="n">
        <v>52</v>
      </c>
      <c r="V56" s="18" t="n">
        <v>48</v>
      </c>
      <c r="W56" s="20" t="n"/>
      <c r="X56" s="20" t="n"/>
      <c r="Y56" s="20" t="n"/>
      <c r="Z56" s="20" t="n"/>
      <c r="AA56" s="20" t="n"/>
      <c r="AB56" s="20" t="n"/>
      <c r="AC56" s="21">
        <f>IF(W56="","",W56-K56)</f>
        <v/>
      </c>
      <c r="AD56" s="21">
        <f>IF(X56="","",X56-L56)</f>
        <v/>
      </c>
      <c r="AE56" s="21">
        <f>IF(Y56="","",Y56-M56)</f>
        <v/>
      </c>
      <c r="AF56" s="21">
        <f>IF(Z56="","",Z56-N56)</f>
        <v/>
      </c>
      <c r="AG56" s="21">
        <f>IF(AA56="","",AA56-O56)</f>
        <v/>
      </c>
      <c r="AH56" s="21">
        <f>IF(AB56="","",AB56-P56)</f>
        <v/>
      </c>
      <c r="AI56" s="18">
        <f>IF(COUNTA(W56:AB56)=0,"未入力",IF(COUNTA(W56:AB56)&lt;6,"一部入力",IF(COUNTIF(AC56:AH56,0)=6,"一致","差分あり")))</f>
        <v/>
      </c>
      <c r="AJ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" s="19" t="inlineStr"/>
      <c r="AL56" s="18" t="inlineStr">
        <is>
          <t>2026-06-29</t>
        </is>
      </c>
    </row>
    <row r="57" ht="22" customHeight="1">
      <c r="A57" s="17" t="inlineStr">
        <is>
          <t>1001306-LB0</t>
        </is>
      </c>
      <c r="B57" s="18" t="n">
        <v>1001306</v>
      </c>
      <c r="C57" s="17" t="inlineStr">
        <is>
          <t>MAikawa06</t>
        </is>
      </c>
      <c r="D57" s="17" t="inlineStr">
        <is>
          <t>MAikawa</t>
        </is>
      </c>
      <c r="E57" s="17" t="inlineStr">
        <is>
          <t>逢川 めぐみ</t>
        </is>
      </c>
      <c r="F57" s="19" t="inlineStr">
        <is>
          <t>心、躍るFuel</t>
        </is>
      </c>
      <c r="G57" s="18" t="inlineStr">
        <is>
          <t>SS</t>
        </is>
      </c>
      <c r="H57" s="17" t="inlineStr">
        <is>
          <t>Debuffer</t>
        </is>
      </c>
      <c r="I57" s="18" t="n">
        <v>0</v>
      </c>
      <c r="J57" s="18" t="n">
        <v>4</v>
      </c>
      <c r="K57" s="18" t="n">
        <v>362</v>
      </c>
      <c r="L57" s="18" t="n">
        <v>441</v>
      </c>
      <c r="M57" s="18" t="n">
        <v>410</v>
      </c>
      <c r="N57" s="18" t="n">
        <v>391</v>
      </c>
      <c r="O57" s="18" t="n">
        <v>422</v>
      </c>
      <c r="P57" s="18" t="n">
        <v>389</v>
      </c>
      <c r="Q57" s="18" t="n">
        <v>37</v>
      </c>
      <c r="R57" s="18" t="n">
        <v>45</v>
      </c>
      <c r="S57" s="18" t="n">
        <v>41</v>
      </c>
      <c r="T57" s="18" t="n">
        <v>40</v>
      </c>
      <c r="U57" s="18" t="n">
        <v>43</v>
      </c>
      <c r="V57" s="18" t="n">
        <v>39</v>
      </c>
      <c r="W57" s="20" t="n"/>
      <c r="X57" s="20" t="n"/>
      <c r="Y57" s="20" t="n"/>
      <c r="Z57" s="20" t="n"/>
      <c r="AA57" s="20" t="n"/>
      <c r="AB57" s="20" t="n"/>
      <c r="AC57" s="21">
        <f>IF(W57="","",W57-K57)</f>
        <v/>
      </c>
      <c r="AD57" s="21">
        <f>IF(X57="","",X57-L57)</f>
        <v/>
      </c>
      <c r="AE57" s="21">
        <f>IF(Y57="","",Y57-M57)</f>
        <v/>
      </c>
      <c r="AF57" s="21">
        <f>IF(Z57="","",Z57-N57)</f>
        <v/>
      </c>
      <c r="AG57" s="21">
        <f>IF(AA57="","",AA57-O57)</f>
        <v/>
      </c>
      <c r="AH57" s="21">
        <f>IF(AB57="","",AB57-P57)</f>
        <v/>
      </c>
      <c r="AI57" s="18">
        <f>IF(COUNTA(W57:AB57)=0,"未入力",IF(COUNTA(W57:AB57)&lt;6,"一部入力",IF(COUNTIF(AC57:AH57,0)=6,"一致","差分あり")))</f>
        <v/>
      </c>
      <c r="AJ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" s="19" t="inlineStr"/>
      <c r="AL57" s="18" t="inlineStr">
        <is>
          <t>2026-06-29</t>
        </is>
      </c>
    </row>
    <row r="58" ht="22" customHeight="1">
      <c r="A58" s="17" t="inlineStr">
        <is>
          <t>1001306-LB4</t>
        </is>
      </c>
      <c r="B58" s="18" t="n">
        <v>1001306</v>
      </c>
      <c r="C58" s="17" t="inlineStr">
        <is>
          <t>MAikawa06</t>
        </is>
      </c>
      <c r="D58" s="17" t="inlineStr">
        <is>
          <t>MAikawa</t>
        </is>
      </c>
      <c r="E58" s="17" t="inlineStr">
        <is>
          <t>逢川 めぐみ</t>
        </is>
      </c>
      <c r="F58" s="19" t="inlineStr">
        <is>
          <t>心、躍るFuel</t>
        </is>
      </c>
      <c r="G58" s="18" t="inlineStr">
        <is>
          <t>SS</t>
        </is>
      </c>
      <c r="H58" s="17" t="inlineStr">
        <is>
          <t>Debuffer</t>
        </is>
      </c>
      <c r="I58" s="18" t="n">
        <v>4</v>
      </c>
      <c r="J58" s="18" t="n">
        <v>4</v>
      </c>
      <c r="K58" s="18" t="n">
        <v>450</v>
      </c>
      <c r="L58" s="18" t="n">
        <v>530</v>
      </c>
      <c r="M58" s="18" t="n">
        <v>501</v>
      </c>
      <c r="N58" s="18" t="n">
        <v>479</v>
      </c>
      <c r="O58" s="18" t="n">
        <v>512</v>
      </c>
      <c r="P58" s="18" t="n">
        <v>474</v>
      </c>
      <c r="Q58" s="18" t="n">
        <v>45</v>
      </c>
      <c r="R58" s="18" t="n">
        <v>53</v>
      </c>
      <c r="S58" s="18" t="n">
        <v>51</v>
      </c>
      <c r="T58" s="18" t="n">
        <v>48</v>
      </c>
      <c r="U58" s="18" t="n">
        <v>52</v>
      </c>
      <c r="V58" s="18" t="n">
        <v>48</v>
      </c>
      <c r="W58" s="20" t="n"/>
      <c r="X58" s="20" t="n"/>
      <c r="Y58" s="20" t="n"/>
      <c r="Z58" s="20" t="n"/>
      <c r="AA58" s="20" t="n"/>
      <c r="AB58" s="20" t="n"/>
      <c r="AC58" s="21">
        <f>IF(W58="","",W58-K58)</f>
        <v/>
      </c>
      <c r="AD58" s="21">
        <f>IF(X58="","",X58-L58)</f>
        <v/>
      </c>
      <c r="AE58" s="21">
        <f>IF(Y58="","",Y58-M58)</f>
        <v/>
      </c>
      <c r="AF58" s="21">
        <f>IF(Z58="","",Z58-N58)</f>
        <v/>
      </c>
      <c r="AG58" s="21">
        <f>IF(AA58="","",AA58-O58)</f>
        <v/>
      </c>
      <c r="AH58" s="21">
        <f>IF(AB58="","",AB58-P58)</f>
        <v/>
      </c>
      <c r="AI58" s="18">
        <f>IF(COUNTA(W58:AB58)=0,"未入力",IF(COUNTA(W58:AB58)&lt;6,"一部入力",IF(COUNTIF(AC58:AH58,0)=6,"一致","差分あり")))</f>
        <v/>
      </c>
      <c r="AJ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" s="19" t="inlineStr"/>
      <c r="AL58" s="18" t="inlineStr">
        <is>
          <t>2026-06-29</t>
        </is>
      </c>
    </row>
    <row r="59" ht="22" customHeight="1">
      <c r="A59" s="17" t="inlineStr">
        <is>
          <t>1001307-LB0</t>
        </is>
      </c>
      <c r="B59" s="18" t="n">
        <v>1001307</v>
      </c>
      <c r="C59" s="17" t="inlineStr">
        <is>
          <t>MAikawa07</t>
        </is>
      </c>
      <c r="D59" s="17" t="inlineStr">
        <is>
          <t>MAikawa</t>
        </is>
      </c>
      <c r="E59" s="17" t="inlineStr">
        <is>
          <t>逢川 めぐみ</t>
        </is>
      </c>
      <c r="F59" s="19" t="inlineStr">
        <is>
          <t>トワイライト・グロース</t>
        </is>
      </c>
      <c r="G59" s="18" t="inlineStr">
        <is>
          <t>SS</t>
        </is>
      </c>
      <c r="H59" s="17" t="inlineStr">
        <is>
          <t>Debuffer</t>
        </is>
      </c>
      <c r="I59" s="18" t="n">
        <v>0</v>
      </c>
      <c r="J59" s="18" t="n">
        <v>4</v>
      </c>
      <c r="K59" s="18" t="n">
        <v>362</v>
      </c>
      <c r="L59" s="18" t="n">
        <v>441</v>
      </c>
      <c r="M59" s="18" t="n">
        <v>410</v>
      </c>
      <c r="N59" s="18" t="n">
        <v>391</v>
      </c>
      <c r="O59" s="18" t="n">
        <v>422</v>
      </c>
      <c r="P59" s="18" t="n">
        <v>389</v>
      </c>
      <c r="Q59" s="18" t="n">
        <v>37</v>
      </c>
      <c r="R59" s="18" t="n">
        <v>45</v>
      </c>
      <c r="S59" s="18" t="n">
        <v>41</v>
      </c>
      <c r="T59" s="18" t="n">
        <v>40</v>
      </c>
      <c r="U59" s="18" t="n">
        <v>43</v>
      </c>
      <c r="V59" s="18" t="n">
        <v>39</v>
      </c>
      <c r="W59" s="20" t="n"/>
      <c r="X59" s="20" t="n"/>
      <c r="Y59" s="20" t="n"/>
      <c r="Z59" s="20" t="n"/>
      <c r="AA59" s="20" t="n"/>
      <c r="AB59" s="20" t="n"/>
      <c r="AC59" s="21">
        <f>IF(W59="","",W59-K59)</f>
        <v/>
      </c>
      <c r="AD59" s="21">
        <f>IF(X59="","",X59-L59)</f>
        <v/>
      </c>
      <c r="AE59" s="21">
        <f>IF(Y59="","",Y59-M59)</f>
        <v/>
      </c>
      <c r="AF59" s="21">
        <f>IF(Z59="","",Z59-N59)</f>
        <v/>
      </c>
      <c r="AG59" s="21">
        <f>IF(AA59="","",AA59-O59)</f>
        <v/>
      </c>
      <c r="AH59" s="21">
        <f>IF(AB59="","",AB59-P59)</f>
        <v/>
      </c>
      <c r="AI59" s="18">
        <f>IF(COUNTA(W59:AB59)=0,"未入力",IF(COUNTA(W59:AB59)&lt;6,"一部入力",IF(COUNTIF(AC59:AH59,0)=6,"一致","差分あり")))</f>
        <v/>
      </c>
      <c r="AJ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" s="19" t="inlineStr"/>
      <c r="AL59" s="18" t="inlineStr">
        <is>
          <t>2026-06-29</t>
        </is>
      </c>
    </row>
    <row r="60" ht="22" customHeight="1">
      <c r="A60" s="17" t="inlineStr">
        <is>
          <t>1001307-LB4</t>
        </is>
      </c>
      <c r="B60" s="18" t="n">
        <v>1001307</v>
      </c>
      <c r="C60" s="17" t="inlineStr">
        <is>
          <t>MAikawa07</t>
        </is>
      </c>
      <c r="D60" s="17" t="inlineStr">
        <is>
          <t>MAikawa</t>
        </is>
      </c>
      <c r="E60" s="17" t="inlineStr">
        <is>
          <t>逢川 めぐみ</t>
        </is>
      </c>
      <c r="F60" s="19" t="inlineStr">
        <is>
          <t>トワイライト・グロース</t>
        </is>
      </c>
      <c r="G60" s="18" t="inlineStr">
        <is>
          <t>SS</t>
        </is>
      </c>
      <c r="H60" s="17" t="inlineStr">
        <is>
          <t>Debuffer</t>
        </is>
      </c>
      <c r="I60" s="18" t="n">
        <v>4</v>
      </c>
      <c r="J60" s="18" t="n">
        <v>4</v>
      </c>
      <c r="K60" s="18" t="n">
        <v>450</v>
      </c>
      <c r="L60" s="18" t="n">
        <v>530</v>
      </c>
      <c r="M60" s="18" t="n">
        <v>501</v>
      </c>
      <c r="N60" s="18" t="n">
        <v>479</v>
      </c>
      <c r="O60" s="18" t="n">
        <v>512</v>
      </c>
      <c r="P60" s="18" t="n">
        <v>474</v>
      </c>
      <c r="Q60" s="18" t="n">
        <v>45</v>
      </c>
      <c r="R60" s="18" t="n">
        <v>53</v>
      </c>
      <c r="S60" s="18" t="n">
        <v>51</v>
      </c>
      <c r="T60" s="18" t="n">
        <v>48</v>
      </c>
      <c r="U60" s="18" t="n">
        <v>52</v>
      </c>
      <c r="V60" s="18" t="n">
        <v>48</v>
      </c>
      <c r="W60" s="20" t="n"/>
      <c r="X60" s="20" t="n"/>
      <c r="Y60" s="20" t="n"/>
      <c r="Z60" s="20" t="n"/>
      <c r="AA60" s="20" t="n"/>
      <c r="AB60" s="20" t="n"/>
      <c r="AC60" s="21">
        <f>IF(W60="","",W60-K60)</f>
        <v/>
      </c>
      <c r="AD60" s="21">
        <f>IF(X60="","",X60-L60)</f>
        <v/>
      </c>
      <c r="AE60" s="21">
        <f>IF(Y60="","",Y60-M60)</f>
        <v/>
      </c>
      <c r="AF60" s="21">
        <f>IF(Z60="","",Z60-N60)</f>
        <v/>
      </c>
      <c r="AG60" s="21">
        <f>IF(AA60="","",AA60-O60)</f>
        <v/>
      </c>
      <c r="AH60" s="21">
        <f>IF(AB60="","",AB60-P60)</f>
        <v/>
      </c>
      <c r="AI60" s="18">
        <f>IF(COUNTA(W60:AB60)=0,"未入力",IF(COUNTA(W60:AB60)&lt;6,"一部入力",IF(COUNTIF(AC60:AH60,0)=6,"一致","差分あり")))</f>
        <v/>
      </c>
      <c r="AJ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" s="19" t="inlineStr"/>
      <c r="AL60" s="18" t="inlineStr">
        <is>
          <t>2026-06-29</t>
        </is>
      </c>
    </row>
    <row r="61" ht="22" customHeight="1">
      <c r="A61" s="17" t="inlineStr">
        <is>
          <t>1001308-LB0</t>
        </is>
      </c>
      <c r="B61" s="18" t="n">
        <v>1001308</v>
      </c>
      <c r="C61" s="17" t="inlineStr">
        <is>
          <t>MAikawa08</t>
        </is>
      </c>
      <c r="D61" s="17" t="inlineStr">
        <is>
          <t>MAikawa</t>
        </is>
      </c>
      <c r="E61" s="17" t="inlineStr">
        <is>
          <t>逢川 めぐみ</t>
        </is>
      </c>
      <c r="F61" s="19" t="inlineStr">
        <is>
          <t>ネバーエンド・サマー</t>
        </is>
      </c>
      <c r="G61" s="18" t="inlineStr">
        <is>
          <t>SS</t>
        </is>
      </c>
      <c r="H61" s="17" t="inlineStr">
        <is>
          <t>Debuffer</t>
        </is>
      </c>
      <c r="I61" s="18" t="n">
        <v>0</v>
      </c>
      <c r="J61" s="18" t="n">
        <v>4</v>
      </c>
      <c r="K61" s="18" t="n">
        <v>397</v>
      </c>
      <c r="L61" s="18" t="n">
        <v>405</v>
      </c>
      <c r="M61" s="18" t="n">
        <v>446</v>
      </c>
      <c r="N61" s="18" t="n">
        <v>417</v>
      </c>
      <c r="O61" s="18" t="n">
        <v>395</v>
      </c>
      <c r="P61" s="18" t="n">
        <v>355</v>
      </c>
      <c r="Q61" s="18" t="n">
        <v>40</v>
      </c>
      <c r="R61" s="18" t="n">
        <v>41</v>
      </c>
      <c r="S61" s="18" t="n">
        <v>45</v>
      </c>
      <c r="T61" s="18" t="n">
        <v>42</v>
      </c>
      <c r="U61" s="18" t="n">
        <v>40</v>
      </c>
      <c r="V61" s="18" t="n">
        <v>36</v>
      </c>
      <c r="W61" s="20" t="n"/>
      <c r="X61" s="20" t="n"/>
      <c r="Y61" s="20" t="n"/>
      <c r="Z61" s="20" t="n"/>
      <c r="AA61" s="20" t="n"/>
      <c r="AB61" s="20" t="n"/>
      <c r="AC61" s="21">
        <f>IF(W61="","",W61-K61)</f>
        <v/>
      </c>
      <c r="AD61" s="21">
        <f>IF(X61="","",X61-L61)</f>
        <v/>
      </c>
      <c r="AE61" s="21">
        <f>IF(Y61="","",Y61-M61)</f>
        <v/>
      </c>
      <c r="AF61" s="21">
        <f>IF(Z61="","",Z61-N61)</f>
        <v/>
      </c>
      <c r="AG61" s="21">
        <f>IF(AA61="","",AA61-O61)</f>
        <v/>
      </c>
      <c r="AH61" s="21">
        <f>IF(AB61="","",AB61-P61)</f>
        <v/>
      </c>
      <c r="AI61" s="18">
        <f>IF(COUNTA(W61:AB61)=0,"未入力",IF(COUNTA(W61:AB61)&lt;6,"一部入力",IF(COUNTIF(AC61:AH61,0)=6,"一致","差分あり")))</f>
        <v/>
      </c>
      <c r="AJ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" s="19" t="inlineStr"/>
      <c r="AL61" s="18" t="inlineStr">
        <is>
          <t>2026-06-29</t>
        </is>
      </c>
    </row>
    <row r="62" ht="22" customHeight="1">
      <c r="A62" s="17" t="inlineStr">
        <is>
          <t>1001308-LB4</t>
        </is>
      </c>
      <c r="B62" s="18" t="n">
        <v>1001308</v>
      </c>
      <c r="C62" s="17" t="inlineStr">
        <is>
          <t>MAikawa08</t>
        </is>
      </c>
      <c r="D62" s="17" t="inlineStr">
        <is>
          <t>MAikawa</t>
        </is>
      </c>
      <c r="E62" s="17" t="inlineStr">
        <is>
          <t>逢川 めぐみ</t>
        </is>
      </c>
      <c r="F62" s="19" t="inlineStr">
        <is>
          <t>ネバーエンド・サマー</t>
        </is>
      </c>
      <c r="G62" s="18" t="inlineStr">
        <is>
          <t>SS</t>
        </is>
      </c>
      <c r="H62" s="17" t="inlineStr">
        <is>
          <t>Debuffer</t>
        </is>
      </c>
      <c r="I62" s="18" t="n">
        <v>4</v>
      </c>
      <c r="J62" s="18" t="n">
        <v>4</v>
      </c>
      <c r="K62" s="18" t="n">
        <v>484</v>
      </c>
      <c r="L62" s="18" t="n">
        <v>495</v>
      </c>
      <c r="M62" s="18" t="n">
        <v>537</v>
      </c>
      <c r="N62" s="18" t="n">
        <v>506</v>
      </c>
      <c r="O62" s="18" t="n">
        <v>485</v>
      </c>
      <c r="P62" s="18" t="n">
        <v>440</v>
      </c>
      <c r="Q62" s="18" t="n">
        <v>49</v>
      </c>
      <c r="R62" s="18" t="n">
        <v>50</v>
      </c>
      <c r="S62" s="18" t="n">
        <v>54</v>
      </c>
      <c r="T62" s="18" t="n">
        <v>51</v>
      </c>
      <c r="U62" s="18" t="n">
        <v>49</v>
      </c>
      <c r="V62" s="18" t="n">
        <v>44</v>
      </c>
      <c r="W62" s="20" t="n"/>
      <c r="X62" s="20" t="n"/>
      <c r="Y62" s="20" t="n"/>
      <c r="Z62" s="20" t="n"/>
      <c r="AA62" s="20" t="n"/>
      <c r="AB62" s="20" t="n"/>
      <c r="AC62" s="21">
        <f>IF(W62="","",W62-K62)</f>
        <v/>
      </c>
      <c r="AD62" s="21">
        <f>IF(X62="","",X62-L62)</f>
        <v/>
      </c>
      <c r="AE62" s="21">
        <f>IF(Y62="","",Y62-M62)</f>
        <v/>
      </c>
      <c r="AF62" s="21">
        <f>IF(Z62="","",Z62-N62)</f>
        <v/>
      </c>
      <c r="AG62" s="21">
        <f>IF(AA62="","",AA62-O62)</f>
        <v/>
      </c>
      <c r="AH62" s="21">
        <f>IF(AB62="","",AB62-P62)</f>
        <v/>
      </c>
      <c r="AI62" s="18">
        <f>IF(COUNTA(W62:AB62)=0,"未入力",IF(COUNTA(W62:AB62)&lt;6,"一部入力",IF(COUNTIF(AC62:AH62,0)=6,"一致","差分あり")))</f>
        <v/>
      </c>
      <c r="AJ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" s="19" t="inlineStr"/>
      <c r="AL62" s="18" t="inlineStr">
        <is>
          <t>2026-06-29</t>
        </is>
      </c>
    </row>
    <row r="63" ht="22" customHeight="1">
      <c r="A63" s="17" t="inlineStr">
        <is>
          <t>1001309-LB0</t>
        </is>
      </c>
      <c r="B63" s="18" t="n">
        <v>1001309</v>
      </c>
      <c r="C63" s="17" t="inlineStr">
        <is>
          <t>MAikawa09</t>
        </is>
      </c>
      <c r="D63" s="17" t="inlineStr">
        <is>
          <t>MAikawa</t>
        </is>
      </c>
      <c r="E63" s="17" t="inlineStr">
        <is>
          <t>逢川 めぐみ</t>
        </is>
      </c>
      <c r="F63" s="19" t="inlineStr">
        <is>
          <t>スペシャルナイト・ガールズジャム</t>
        </is>
      </c>
      <c r="G63" s="18" t="inlineStr">
        <is>
          <t>SSR</t>
        </is>
      </c>
      <c r="H63" s="17" t="inlineStr">
        <is>
          <t>Debuffer</t>
        </is>
      </c>
      <c r="I63" s="18" t="n">
        <v>0</v>
      </c>
      <c r="J63" s="18" t="n">
        <v>4</v>
      </c>
      <c r="K63" s="18" t="n">
        <v>397</v>
      </c>
      <c r="L63" s="18" t="n">
        <v>405</v>
      </c>
      <c r="M63" s="18" t="n">
        <v>446</v>
      </c>
      <c r="N63" s="18" t="n">
        <v>417</v>
      </c>
      <c r="O63" s="18" t="n">
        <v>395</v>
      </c>
      <c r="P63" s="18" t="n">
        <v>355</v>
      </c>
      <c r="Q63" s="18" t="n">
        <v>40</v>
      </c>
      <c r="R63" s="18" t="n">
        <v>41</v>
      </c>
      <c r="S63" s="18" t="n">
        <v>45</v>
      </c>
      <c r="T63" s="18" t="n">
        <v>42</v>
      </c>
      <c r="U63" s="18" t="n">
        <v>40</v>
      </c>
      <c r="V63" s="18" t="n">
        <v>36</v>
      </c>
      <c r="W63" s="20" t="n"/>
      <c r="X63" s="20" t="n"/>
      <c r="Y63" s="20" t="n"/>
      <c r="Z63" s="20" t="n"/>
      <c r="AA63" s="20" t="n"/>
      <c r="AB63" s="20" t="n"/>
      <c r="AC63" s="21">
        <f>IF(W63="","",W63-K63)</f>
        <v/>
      </c>
      <c r="AD63" s="21">
        <f>IF(X63="","",X63-L63)</f>
        <v/>
      </c>
      <c r="AE63" s="21">
        <f>IF(Y63="","",Y63-M63)</f>
        <v/>
      </c>
      <c r="AF63" s="21">
        <f>IF(Z63="","",Z63-N63)</f>
        <v/>
      </c>
      <c r="AG63" s="21">
        <f>IF(AA63="","",AA63-O63)</f>
        <v/>
      </c>
      <c r="AH63" s="21">
        <f>IF(AB63="","",AB63-P63)</f>
        <v/>
      </c>
      <c r="AI63" s="18">
        <f>IF(COUNTA(W63:AB63)=0,"未入力",IF(COUNTA(W63:AB63)&lt;6,"一部入力",IF(COUNTIF(AC63:AH63,0)=6,"一致","差分あり")))</f>
        <v/>
      </c>
      <c r="AJ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" s="19" t="inlineStr"/>
      <c r="AL63" s="18" t="inlineStr">
        <is>
          <t>2026-06-29</t>
        </is>
      </c>
    </row>
    <row r="64" ht="22" customHeight="1">
      <c r="A64" s="17" t="inlineStr">
        <is>
          <t>1001309-LB4</t>
        </is>
      </c>
      <c r="B64" s="18" t="n">
        <v>1001309</v>
      </c>
      <c r="C64" s="17" t="inlineStr">
        <is>
          <t>MAikawa09</t>
        </is>
      </c>
      <c r="D64" s="17" t="inlineStr">
        <is>
          <t>MAikawa</t>
        </is>
      </c>
      <c r="E64" s="17" t="inlineStr">
        <is>
          <t>逢川 めぐみ</t>
        </is>
      </c>
      <c r="F64" s="19" t="inlineStr">
        <is>
          <t>スペシャルナイト・ガールズジャム</t>
        </is>
      </c>
      <c r="G64" s="18" t="inlineStr">
        <is>
          <t>SSR</t>
        </is>
      </c>
      <c r="H64" s="17" t="inlineStr">
        <is>
          <t>Debuffer</t>
        </is>
      </c>
      <c r="I64" s="18" t="n">
        <v>4</v>
      </c>
      <c r="J64" s="18" t="n">
        <v>4</v>
      </c>
      <c r="K64" s="18" t="n">
        <v>484</v>
      </c>
      <c r="L64" s="18" t="n">
        <v>495</v>
      </c>
      <c r="M64" s="18" t="n">
        <v>537</v>
      </c>
      <c r="N64" s="18" t="n">
        <v>506</v>
      </c>
      <c r="O64" s="18" t="n">
        <v>485</v>
      </c>
      <c r="P64" s="18" t="n">
        <v>440</v>
      </c>
      <c r="Q64" s="18" t="n">
        <v>49</v>
      </c>
      <c r="R64" s="18" t="n">
        <v>50</v>
      </c>
      <c r="S64" s="18" t="n">
        <v>54</v>
      </c>
      <c r="T64" s="18" t="n">
        <v>51</v>
      </c>
      <c r="U64" s="18" t="n">
        <v>49</v>
      </c>
      <c r="V64" s="18" t="n">
        <v>44</v>
      </c>
      <c r="W64" s="20" t="n"/>
      <c r="X64" s="20" t="n"/>
      <c r="Y64" s="20" t="n"/>
      <c r="Z64" s="20" t="n"/>
      <c r="AA64" s="20" t="n"/>
      <c r="AB64" s="20" t="n"/>
      <c r="AC64" s="21">
        <f>IF(W64="","",W64-K64)</f>
        <v/>
      </c>
      <c r="AD64" s="21">
        <f>IF(X64="","",X64-L64)</f>
        <v/>
      </c>
      <c r="AE64" s="21">
        <f>IF(Y64="","",Y64-M64)</f>
        <v/>
      </c>
      <c r="AF64" s="21">
        <f>IF(Z64="","",Z64-N64)</f>
        <v/>
      </c>
      <c r="AG64" s="21">
        <f>IF(AA64="","",AA64-O64)</f>
        <v/>
      </c>
      <c r="AH64" s="21">
        <f>IF(AB64="","",AB64-P64)</f>
        <v/>
      </c>
      <c r="AI64" s="18">
        <f>IF(COUNTA(W64:AB64)=0,"未入力",IF(COUNTA(W64:AB64)&lt;6,"一部入力",IF(COUNTIF(AC64:AH64,0)=6,"一致","差分あり")))</f>
        <v/>
      </c>
      <c r="AJ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" s="19" t="inlineStr"/>
      <c r="AL64" s="18" t="inlineStr">
        <is>
          <t>2026-06-29</t>
        </is>
      </c>
    </row>
    <row r="65" ht="22" customHeight="1">
      <c r="A65" s="17" t="inlineStr">
        <is>
          <t>1001401-LB0</t>
        </is>
      </c>
      <c r="B65" s="18" t="n">
        <v>1001401</v>
      </c>
      <c r="C65" s="17" t="inlineStr">
        <is>
          <t>TTojo01</t>
        </is>
      </c>
      <c r="D65" s="17" t="inlineStr">
        <is>
          <t>TTojo</t>
        </is>
      </c>
      <c r="E65" s="17" t="inlineStr">
        <is>
          <t>東城 つかさ</t>
        </is>
      </c>
      <c r="F65" s="19" t="inlineStr">
        <is>
          <t>Serious or Stupid</t>
        </is>
      </c>
      <c r="G65" s="18" t="inlineStr">
        <is>
          <t>A</t>
        </is>
      </c>
      <c r="H65" s="17" t="inlineStr">
        <is>
          <t>Buffer</t>
        </is>
      </c>
      <c r="I65" s="18" t="n">
        <v>0</v>
      </c>
      <c r="J65" s="18" t="n">
        <v>20</v>
      </c>
      <c r="K65" s="18" t="n">
        <v>285</v>
      </c>
      <c r="L65" s="18" t="n">
        <v>246</v>
      </c>
      <c r="M65" s="18" t="n">
        <v>266</v>
      </c>
      <c r="N65" s="18" t="n">
        <v>288</v>
      </c>
      <c r="O65" s="18" t="n">
        <v>278</v>
      </c>
      <c r="P65" s="18" t="n">
        <v>284</v>
      </c>
      <c r="Q65" s="18" t="n">
        <v>29</v>
      </c>
      <c r="R65" s="18" t="n">
        <v>25</v>
      </c>
      <c r="S65" s="18" t="n">
        <v>27</v>
      </c>
      <c r="T65" s="18" t="n">
        <v>29</v>
      </c>
      <c r="U65" s="18" t="n">
        <v>28</v>
      </c>
      <c r="V65" s="18" t="n">
        <v>29</v>
      </c>
      <c r="W65" s="20" t="n"/>
      <c r="X65" s="20" t="n"/>
      <c r="Y65" s="20" t="n"/>
      <c r="Z65" s="20" t="n"/>
      <c r="AA65" s="20" t="n"/>
      <c r="AB65" s="20" t="n"/>
      <c r="AC65" s="21">
        <f>IF(W65="","",W65-K65)</f>
        <v/>
      </c>
      <c r="AD65" s="21">
        <f>IF(X65="","",X65-L65)</f>
        <v/>
      </c>
      <c r="AE65" s="21">
        <f>IF(Y65="","",Y65-M65)</f>
        <v/>
      </c>
      <c r="AF65" s="21">
        <f>IF(Z65="","",Z65-N65)</f>
        <v/>
      </c>
      <c r="AG65" s="21">
        <f>IF(AA65="","",AA65-O65)</f>
        <v/>
      </c>
      <c r="AH65" s="21">
        <f>IF(AB65="","",AB65-P65)</f>
        <v/>
      </c>
      <c r="AI65" s="18">
        <f>IF(COUNTA(W65:AB65)=0,"未入力",IF(COUNTA(W65:AB65)&lt;6,"一部入力",IF(COUNTIF(AC65:AH65,0)=6,"一致","差分あり")))</f>
        <v/>
      </c>
      <c r="AJ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" s="19" t="inlineStr"/>
      <c r="AL65" s="18" t="inlineStr">
        <is>
          <t>2026-06-29</t>
        </is>
      </c>
    </row>
    <row r="66" ht="22" customHeight="1">
      <c r="A66" s="17" t="inlineStr">
        <is>
          <t>1001401-LB20</t>
        </is>
      </c>
      <c r="B66" s="18" t="n">
        <v>1001401</v>
      </c>
      <c r="C66" s="17" t="inlineStr">
        <is>
          <t>TTojo01</t>
        </is>
      </c>
      <c r="D66" s="17" t="inlineStr">
        <is>
          <t>TTojo</t>
        </is>
      </c>
      <c r="E66" s="17" t="inlineStr">
        <is>
          <t>東城 つかさ</t>
        </is>
      </c>
      <c r="F66" s="19" t="inlineStr">
        <is>
          <t>Serious or Stupid</t>
        </is>
      </c>
      <c r="G66" s="18" t="inlineStr">
        <is>
          <t>A</t>
        </is>
      </c>
      <c r="H66" s="17" t="inlineStr">
        <is>
          <t>Buffer</t>
        </is>
      </c>
      <c r="I66" s="18" t="n">
        <v>20</v>
      </c>
      <c r="J66" s="18" t="n">
        <v>20</v>
      </c>
      <c r="K66" s="18" t="n">
        <v>329</v>
      </c>
      <c r="L66" s="18" t="n">
        <v>290</v>
      </c>
      <c r="M66" s="18" t="n">
        <v>314</v>
      </c>
      <c r="N66" s="18" t="n">
        <v>333</v>
      </c>
      <c r="O66" s="18" t="n">
        <v>322</v>
      </c>
      <c r="P66" s="18" t="n">
        <v>326</v>
      </c>
      <c r="Q66" s="18" t="n">
        <v>33</v>
      </c>
      <c r="R66" s="18" t="n">
        <v>29</v>
      </c>
      <c r="S66" s="18" t="n">
        <v>32</v>
      </c>
      <c r="T66" s="18" t="n">
        <v>34</v>
      </c>
      <c r="U66" s="18" t="n">
        <v>33</v>
      </c>
      <c r="V66" s="18" t="n">
        <v>33</v>
      </c>
      <c r="W66" s="20" t="n"/>
      <c r="X66" s="20" t="n"/>
      <c r="Y66" s="20" t="n"/>
      <c r="Z66" s="20" t="n"/>
      <c r="AA66" s="20" t="n"/>
      <c r="AB66" s="20" t="n"/>
      <c r="AC66" s="21">
        <f>IF(W66="","",W66-K66)</f>
        <v/>
      </c>
      <c r="AD66" s="21">
        <f>IF(X66="","",X66-L66)</f>
        <v/>
      </c>
      <c r="AE66" s="21">
        <f>IF(Y66="","",Y66-M66)</f>
        <v/>
      </c>
      <c r="AF66" s="21">
        <f>IF(Z66="","",Z66-N66)</f>
        <v/>
      </c>
      <c r="AG66" s="21">
        <f>IF(AA66="","",AA66-O66)</f>
        <v/>
      </c>
      <c r="AH66" s="21">
        <f>IF(AB66="","",AB66-P66)</f>
        <v/>
      </c>
      <c r="AI66" s="18">
        <f>IF(COUNTA(W66:AB66)=0,"未入力",IF(COUNTA(W66:AB66)&lt;6,"一部入力",IF(COUNTIF(AC66:AH66,0)=6,"一致","差分あり")))</f>
        <v/>
      </c>
      <c r="AJ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" s="19" t="inlineStr"/>
      <c r="AL66" s="18" t="inlineStr">
        <is>
          <t>2026-06-29</t>
        </is>
      </c>
    </row>
    <row r="67" ht="22" customHeight="1">
      <c r="A67" s="17" t="inlineStr">
        <is>
          <t>1001402-LB0</t>
        </is>
      </c>
      <c r="B67" s="18" t="n">
        <v>1001402</v>
      </c>
      <c r="C67" s="17" t="inlineStr">
        <is>
          <t>TTojo02</t>
        </is>
      </c>
      <c r="D67" s="17" t="inlineStr">
        <is>
          <t>TTojo</t>
        </is>
      </c>
      <c r="E67" s="17" t="inlineStr">
        <is>
          <t>東城 つかさ</t>
        </is>
      </c>
      <c r="F67" s="19" t="inlineStr">
        <is>
          <t>嗟歎のスリーパー</t>
        </is>
      </c>
      <c r="G67" s="18" t="inlineStr">
        <is>
          <t>S</t>
        </is>
      </c>
      <c r="H67" s="17" t="inlineStr">
        <is>
          <t>Buffer</t>
        </is>
      </c>
      <c r="I67" s="18" t="n">
        <v>0</v>
      </c>
      <c r="J67" s="18" t="n">
        <v>10</v>
      </c>
      <c r="K67" s="18" t="n">
        <v>302</v>
      </c>
      <c r="L67" s="18" t="n">
        <v>347</v>
      </c>
      <c r="M67" s="18" t="n">
        <v>341</v>
      </c>
      <c r="N67" s="18" t="n">
        <v>315</v>
      </c>
      <c r="O67" s="18" t="n">
        <v>348</v>
      </c>
      <c r="P67" s="18" t="n">
        <v>310</v>
      </c>
      <c r="Q67" s="18" t="n">
        <v>31</v>
      </c>
      <c r="R67" s="18" t="n">
        <v>35</v>
      </c>
      <c r="S67" s="18" t="n">
        <v>35</v>
      </c>
      <c r="T67" s="18" t="n">
        <v>32</v>
      </c>
      <c r="U67" s="18" t="n">
        <v>35</v>
      </c>
      <c r="V67" s="18" t="n">
        <v>31</v>
      </c>
      <c r="W67" s="20" t="n"/>
      <c r="X67" s="20" t="n"/>
      <c r="Y67" s="20" t="n"/>
      <c r="Z67" s="20" t="n"/>
      <c r="AA67" s="20" t="n"/>
      <c r="AB67" s="20" t="n"/>
      <c r="AC67" s="21">
        <f>IF(W67="","",W67-K67)</f>
        <v/>
      </c>
      <c r="AD67" s="21">
        <f>IF(X67="","",X67-L67)</f>
        <v/>
      </c>
      <c r="AE67" s="21">
        <f>IF(Y67="","",Y67-M67)</f>
        <v/>
      </c>
      <c r="AF67" s="21">
        <f>IF(Z67="","",Z67-N67)</f>
        <v/>
      </c>
      <c r="AG67" s="21">
        <f>IF(AA67="","",AA67-O67)</f>
        <v/>
      </c>
      <c r="AH67" s="21">
        <f>IF(AB67="","",AB67-P67)</f>
        <v/>
      </c>
      <c r="AI67" s="18">
        <f>IF(COUNTA(W67:AB67)=0,"未入力",IF(COUNTA(W67:AB67)&lt;6,"一部入力",IF(COUNTIF(AC67:AH67,0)=6,"一致","差分あり")))</f>
        <v/>
      </c>
      <c r="AJ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" s="19" t="inlineStr"/>
      <c r="AL67" s="18" t="inlineStr">
        <is>
          <t>2026-06-29</t>
        </is>
      </c>
    </row>
    <row r="68" ht="22" customHeight="1">
      <c r="A68" s="17" t="inlineStr">
        <is>
          <t>1001402-LB10</t>
        </is>
      </c>
      <c r="B68" s="18" t="n">
        <v>1001402</v>
      </c>
      <c r="C68" s="17" t="inlineStr">
        <is>
          <t>TTojo02</t>
        </is>
      </c>
      <c r="D68" s="17" t="inlineStr">
        <is>
          <t>TTojo</t>
        </is>
      </c>
      <c r="E68" s="17" t="inlineStr">
        <is>
          <t>東城 つかさ</t>
        </is>
      </c>
      <c r="F68" s="19" t="inlineStr">
        <is>
          <t>嗟歎のスリーパー</t>
        </is>
      </c>
      <c r="G68" s="18" t="inlineStr">
        <is>
          <t>S</t>
        </is>
      </c>
      <c r="H68" s="17" t="inlineStr">
        <is>
          <t>Buffer</t>
        </is>
      </c>
      <c r="I68" s="18" t="n">
        <v>10</v>
      </c>
      <c r="J68" s="18" t="n">
        <v>10</v>
      </c>
      <c r="K68" s="18" t="n">
        <v>367</v>
      </c>
      <c r="L68" s="18" t="n">
        <v>416</v>
      </c>
      <c r="M68" s="18" t="n">
        <v>413</v>
      </c>
      <c r="N68" s="18" t="n">
        <v>383</v>
      </c>
      <c r="O68" s="18" t="n">
        <v>414</v>
      </c>
      <c r="P68" s="18" t="n">
        <v>375</v>
      </c>
      <c r="Q68" s="18" t="n">
        <v>37</v>
      </c>
      <c r="R68" s="18" t="n">
        <v>42</v>
      </c>
      <c r="S68" s="18" t="n">
        <v>42</v>
      </c>
      <c r="T68" s="18" t="n">
        <v>39</v>
      </c>
      <c r="U68" s="18" t="n">
        <v>42</v>
      </c>
      <c r="V68" s="18" t="n">
        <v>38</v>
      </c>
      <c r="W68" s="20" t="n"/>
      <c r="X68" s="20" t="n"/>
      <c r="Y68" s="20" t="n"/>
      <c r="Z68" s="20" t="n"/>
      <c r="AA68" s="20" t="n"/>
      <c r="AB68" s="20" t="n"/>
      <c r="AC68" s="21">
        <f>IF(W68="","",W68-K68)</f>
        <v/>
      </c>
      <c r="AD68" s="21">
        <f>IF(X68="","",X68-L68)</f>
        <v/>
      </c>
      <c r="AE68" s="21">
        <f>IF(Y68="","",Y68-M68)</f>
        <v/>
      </c>
      <c r="AF68" s="21">
        <f>IF(Z68="","",Z68-N68)</f>
        <v/>
      </c>
      <c r="AG68" s="21">
        <f>IF(AA68="","",AA68-O68)</f>
        <v/>
      </c>
      <c r="AH68" s="21">
        <f>IF(AB68="","",AB68-P68)</f>
        <v/>
      </c>
      <c r="AI68" s="18">
        <f>IF(COUNTA(W68:AB68)=0,"未入力",IF(COUNTA(W68:AB68)&lt;6,"一部入力",IF(COUNTIF(AC68:AH68,0)=6,"一致","差分あり")))</f>
        <v/>
      </c>
      <c r="AJ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" s="19" t="inlineStr"/>
      <c r="AL68" s="18" t="inlineStr">
        <is>
          <t>2026-06-29</t>
        </is>
      </c>
    </row>
    <row r="69" ht="22" customHeight="1">
      <c r="A69" s="17" t="inlineStr">
        <is>
          <t>1001403-LB0</t>
        </is>
      </c>
      <c r="B69" s="18" t="n">
        <v>1001403</v>
      </c>
      <c r="C69" s="17" t="inlineStr">
        <is>
          <t>TTojo03</t>
        </is>
      </c>
      <c r="D69" s="17" t="inlineStr">
        <is>
          <t>TTojo</t>
        </is>
      </c>
      <c r="E69" s="17" t="inlineStr">
        <is>
          <t>東城 つかさ</t>
        </is>
      </c>
      <c r="F69" s="19" t="inlineStr">
        <is>
          <t>メメント・モリの美少女</t>
        </is>
      </c>
      <c r="G69" s="18" t="inlineStr">
        <is>
          <t>SS</t>
        </is>
      </c>
      <c r="H69" s="17" t="inlineStr">
        <is>
          <t>Buffer</t>
        </is>
      </c>
      <c r="I69" s="18" t="n">
        <v>0</v>
      </c>
      <c r="J69" s="18" t="n">
        <v>4</v>
      </c>
      <c r="K69" s="18" t="n">
        <v>372</v>
      </c>
      <c r="L69" s="18" t="n">
        <v>377</v>
      </c>
      <c r="M69" s="18" t="n">
        <v>442</v>
      </c>
      <c r="N69" s="18" t="n">
        <v>401</v>
      </c>
      <c r="O69" s="18" t="n">
        <v>362</v>
      </c>
      <c r="P69" s="18" t="n">
        <v>335</v>
      </c>
      <c r="Q69" s="18" t="n">
        <v>38</v>
      </c>
      <c r="R69" s="18" t="n">
        <v>38</v>
      </c>
      <c r="S69" s="18" t="n">
        <v>45</v>
      </c>
      <c r="T69" s="18" t="n">
        <v>41</v>
      </c>
      <c r="U69" s="18" t="n">
        <v>37</v>
      </c>
      <c r="V69" s="18" t="n">
        <v>34</v>
      </c>
      <c r="W69" s="20" t="n"/>
      <c r="X69" s="20" t="n"/>
      <c r="Y69" s="20" t="n"/>
      <c r="Z69" s="20" t="n"/>
      <c r="AA69" s="20" t="n"/>
      <c r="AB69" s="20" t="n"/>
      <c r="AC69" s="21">
        <f>IF(W69="","",W69-K69)</f>
        <v/>
      </c>
      <c r="AD69" s="21">
        <f>IF(X69="","",X69-L69)</f>
        <v/>
      </c>
      <c r="AE69" s="21">
        <f>IF(Y69="","",Y69-M69)</f>
        <v/>
      </c>
      <c r="AF69" s="21">
        <f>IF(Z69="","",Z69-N69)</f>
        <v/>
      </c>
      <c r="AG69" s="21">
        <f>IF(AA69="","",AA69-O69)</f>
        <v/>
      </c>
      <c r="AH69" s="21">
        <f>IF(AB69="","",AB69-P69)</f>
        <v/>
      </c>
      <c r="AI69" s="18">
        <f>IF(COUNTA(W69:AB69)=0,"未入力",IF(COUNTA(W69:AB69)&lt;6,"一部入力",IF(COUNTIF(AC69:AH69,0)=6,"一致","差分あり")))</f>
        <v/>
      </c>
      <c r="AJ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" s="19" t="inlineStr"/>
      <c r="AL69" s="18" t="inlineStr">
        <is>
          <t>2026-06-29</t>
        </is>
      </c>
    </row>
    <row r="70" ht="22" customHeight="1">
      <c r="A70" s="17" t="inlineStr">
        <is>
          <t>1001403-LB4</t>
        </is>
      </c>
      <c r="B70" s="18" t="n">
        <v>1001403</v>
      </c>
      <c r="C70" s="17" t="inlineStr">
        <is>
          <t>TTojo03</t>
        </is>
      </c>
      <c r="D70" s="17" t="inlineStr">
        <is>
          <t>TTojo</t>
        </is>
      </c>
      <c r="E70" s="17" t="inlineStr">
        <is>
          <t>東城 つかさ</t>
        </is>
      </c>
      <c r="F70" s="19" t="inlineStr">
        <is>
          <t>メメント・モリの美少女</t>
        </is>
      </c>
      <c r="G70" s="18" t="inlineStr">
        <is>
          <t>SS</t>
        </is>
      </c>
      <c r="H70" s="17" t="inlineStr">
        <is>
          <t>Buffer</t>
        </is>
      </c>
      <c r="I70" s="18" t="n">
        <v>4</v>
      </c>
      <c r="J70" s="18" t="n">
        <v>4</v>
      </c>
      <c r="K70" s="18" t="n">
        <v>459</v>
      </c>
      <c r="L70" s="18" t="n">
        <v>465</v>
      </c>
      <c r="M70" s="18" t="n">
        <v>537</v>
      </c>
      <c r="N70" s="18" t="n">
        <v>491</v>
      </c>
      <c r="O70" s="18" t="n">
        <v>450</v>
      </c>
      <c r="P70" s="18" t="n">
        <v>421</v>
      </c>
      <c r="Q70" s="18" t="n">
        <v>46</v>
      </c>
      <c r="R70" s="18" t="n">
        <v>47</v>
      </c>
      <c r="S70" s="18" t="n">
        <v>54</v>
      </c>
      <c r="T70" s="18" t="n">
        <v>50</v>
      </c>
      <c r="U70" s="18" t="n">
        <v>45</v>
      </c>
      <c r="V70" s="18" t="n">
        <v>43</v>
      </c>
      <c r="W70" s="20" t="n"/>
      <c r="X70" s="20" t="n"/>
      <c r="Y70" s="20" t="n"/>
      <c r="Z70" s="20" t="n"/>
      <c r="AA70" s="20" t="n"/>
      <c r="AB70" s="20" t="n"/>
      <c r="AC70" s="21">
        <f>IF(W70="","",W70-K70)</f>
        <v/>
      </c>
      <c r="AD70" s="21">
        <f>IF(X70="","",X70-L70)</f>
        <v/>
      </c>
      <c r="AE70" s="21">
        <f>IF(Y70="","",Y70-M70)</f>
        <v/>
      </c>
      <c r="AF70" s="21">
        <f>IF(Z70="","",Z70-N70)</f>
        <v/>
      </c>
      <c r="AG70" s="21">
        <f>IF(AA70="","",AA70-O70)</f>
        <v/>
      </c>
      <c r="AH70" s="21">
        <f>IF(AB70="","",AB70-P70)</f>
        <v/>
      </c>
      <c r="AI70" s="18">
        <f>IF(COUNTA(W70:AB70)=0,"未入力",IF(COUNTA(W70:AB70)&lt;6,"一部入力",IF(COUNTIF(AC70:AH70,0)=6,"一致","差分あり")))</f>
        <v/>
      </c>
      <c r="AJ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" s="19" t="inlineStr"/>
      <c r="AL70" s="18" t="inlineStr">
        <is>
          <t>2026-06-29</t>
        </is>
      </c>
    </row>
    <row r="71" ht="22" customHeight="1">
      <c r="A71" s="17" t="inlineStr">
        <is>
          <t>1001404-LB0</t>
        </is>
      </c>
      <c r="B71" s="18" t="n">
        <v>1001404</v>
      </c>
      <c r="C71" s="17" t="inlineStr">
        <is>
          <t>TTojo04</t>
        </is>
      </c>
      <c r="D71" s="17" t="inlineStr">
        <is>
          <t>TTojo</t>
        </is>
      </c>
      <c r="E71" s="17" t="inlineStr">
        <is>
          <t>東城 つかさ</t>
        </is>
      </c>
      <c r="F71" s="19" t="inlineStr">
        <is>
          <t>真夏のPrayer</t>
        </is>
      </c>
      <c r="G71" s="18" t="inlineStr">
        <is>
          <t>SS</t>
        </is>
      </c>
      <c r="H71" s="17" t="inlineStr">
        <is>
          <t>Buffer</t>
        </is>
      </c>
      <c r="I71" s="18" t="n">
        <v>0</v>
      </c>
      <c r="J71" s="18" t="n">
        <v>4</v>
      </c>
      <c r="K71" s="18" t="n">
        <v>394</v>
      </c>
      <c r="L71" s="18" t="n">
        <v>399</v>
      </c>
      <c r="M71" s="18" t="n">
        <v>466</v>
      </c>
      <c r="N71" s="18" t="n">
        <v>424</v>
      </c>
      <c r="O71" s="18" t="n">
        <v>384</v>
      </c>
      <c r="P71" s="18" t="n">
        <v>356</v>
      </c>
      <c r="Q71" s="18" t="n">
        <v>40</v>
      </c>
      <c r="R71" s="18" t="n">
        <v>40</v>
      </c>
      <c r="S71" s="18" t="n">
        <v>47</v>
      </c>
      <c r="T71" s="18" t="n">
        <v>43</v>
      </c>
      <c r="U71" s="18" t="n">
        <v>39</v>
      </c>
      <c r="V71" s="18" t="n">
        <v>36</v>
      </c>
      <c r="W71" s="20" t="n"/>
      <c r="X71" s="20" t="n"/>
      <c r="Y71" s="20" t="n"/>
      <c r="Z71" s="20" t="n"/>
      <c r="AA71" s="20" t="n"/>
      <c r="AB71" s="20" t="n"/>
      <c r="AC71" s="21">
        <f>IF(W71="","",W71-K71)</f>
        <v/>
      </c>
      <c r="AD71" s="21">
        <f>IF(X71="","",X71-L71)</f>
        <v/>
      </c>
      <c r="AE71" s="21">
        <f>IF(Y71="","",Y71-M71)</f>
        <v/>
      </c>
      <c r="AF71" s="21">
        <f>IF(Z71="","",Z71-N71)</f>
        <v/>
      </c>
      <c r="AG71" s="21">
        <f>IF(AA71="","",AA71-O71)</f>
        <v/>
      </c>
      <c r="AH71" s="21">
        <f>IF(AB71="","",AB71-P71)</f>
        <v/>
      </c>
      <c r="AI71" s="18">
        <f>IF(COUNTA(W71:AB71)=0,"未入力",IF(COUNTA(W71:AB71)&lt;6,"一部入力",IF(COUNTIF(AC71:AH71,0)=6,"一致","差分あり")))</f>
        <v/>
      </c>
      <c r="AJ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" s="19" t="inlineStr"/>
      <c r="AL71" s="18" t="inlineStr">
        <is>
          <t>2026-06-29</t>
        </is>
      </c>
    </row>
    <row r="72" ht="22" customHeight="1">
      <c r="A72" s="17" t="inlineStr">
        <is>
          <t>1001404-LB4</t>
        </is>
      </c>
      <c r="B72" s="18" t="n">
        <v>1001404</v>
      </c>
      <c r="C72" s="17" t="inlineStr">
        <is>
          <t>TTojo04</t>
        </is>
      </c>
      <c r="D72" s="17" t="inlineStr">
        <is>
          <t>TTojo</t>
        </is>
      </c>
      <c r="E72" s="17" t="inlineStr">
        <is>
          <t>東城 つかさ</t>
        </is>
      </c>
      <c r="F72" s="19" t="inlineStr">
        <is>
          <t>真夏のPrayer</t>
        </is>
      </c>
      <c r="G72" s="18" t="inlineStr">
        <is>
          <t>SS</t>
        </is>
      </c>
      <c r="H72" s="17" t="inlineStr">
        <is>
          <t>Buffer</t>
        </is>
      </c>
      <c r="I72" s="18" t="n">
        <v>4</v>
      </c>
      <c r="J72" s="18" t="n">
        <v>4</v>
      </c>
      <c r="K72" s="18" t="n">
        <v>480</v>
      </c>
      <c r="L72" s="18" t="n">
        <v>486</v>
      </c>
      <c r="M72" s="18" t="n">
        <v>561</v>
      </c>
      <c r="N72" s="18" t="n">
        <v>514</v>
      </c>
      <c r="O72" s="18" t="n">
        <v>471</v>
      </c>
      <c r="P72" s="18" t="n">
        <v>442</v>
      </c>
      <c r="Q72" s="18" t="n">
        <v>48</v>
      </c>
      <c r="R72" s="18" t="n">
        <v>49</v>
      </c>
      <c r="S72" s="18" t="n">
        <v>57</v>
      </c>
      <c r="T72" s="18" t="n">
        <v>52</v>
      </c>
      <c r="U72" s="18" t="n">
        <v>48</v>
      </c>
      <c r="V72" s="18" t="n">
        <v>45</v>
      </c>
      <c r="W72" s="20" t="n"/>
      <c r="X72" s="20" t="n"/>
      <c r="Y72" s="20" t="n"/>
      <c r="Z72" s="20" t="n"/>
      <c r="AA72" s="20" t="n"/>
      <c r="AB72" s="20" t="n"/>
      <c r="AC72" s="21">
        <f>IF(W72="","",W72-K72)</f>
        <v/>
      </c>
      <c r="AD72" s="21">
        <f>IF(X72="","",X72-L72)</f>
        <v/>
      </c>
      <c r="AE72" s="21">
        <f>IF(Y72="","",Y72-M72)</f>
        <v/>
      </c>
      <c r="AF72" s="21">
        <f>IF(Z72="","",Z72-N72)</f>
        <v/>
      </c>
      <c r="AG72" s="21">
        <f>IF(AA72="","",AA72-O72)</f>
        <v/>
      </c>
      <c r="AH72" s="21">
        <f>IF(AB72="","",AB72-P72)</f>
        <v/>
      </c>
      <c r="AI72" s="18">
        <f>IF(COUNTA(W72:AB72)=0,"未入力",IF(COUNTA(W72:AB72)&lt;6,"一部入力",IF(COUNTIF(AC72:AH72,0)=6,"一致","差分あり")))</f>
        <v/>
      </c>
      <c r="AJ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" s="19" t="inlineStr"/>
      <c r="AL72" s="18" t="inlineStr">
        <is>
          <t>2026-06-29</t>
        </is>
      </c>
    </row>
    <row r="73" ht="22" customHeight="1">
      <c r="A73" s="17" t="inlineStr">
        <is>
          <t>1001405-LB0</t>
        </is>
      </c>
      <c r="B73" s="18" t="n">
        <v>1001405</v>
      </c>
      <c r="C73" s="17" t="inlineStr">
        <is>
          <t>TTojo05</t>
        </is>
      </c>
      <c r="D73" s="17" t="inlineStr">
        <is>
          <t>TTojo</t>
        </is>
      </c>
      <c r="E73" s="17" t="inlineStr">
        <is>
          <t>東城 つかさ</t>
        </is>
      </c>
      <c r="F73" s="19" t="inlineStr">
        <is>
          <t>シークレットサービス・サイレンス</t>
        </is>
      </c>
      <c r="G73" s="18" t="inlineStr">
        <is>
          <t>SS</t>
        </is>
      </c>
      <c r="H73" s="17" t="inlineStr">
        <is>
          <t>Buffer</t>
        </is>
      </c>
      <c r="I73" s="18" t="n">
        <v>0</v>
      </c>
      <c r="J73" s="18" t="n">
        <v>4</v>
      </c>
      <c r="K73" s="18" t="n">
        <v>394</v>
      </c>
      <c r="L73" s="18" t="n">
        <v>399</v>
      </c>
      <c r="M73" s="18" t="n">
        <v>466</v>
      </c>
      <c r="N73" s="18" t="n">
        <v>424</v>
      </c>
      <c r="O73" s="18" t="n">
        <v>384</v>
      </c>
      <c r="P73" s="18" t="n">
        <v>356</v>
      </c>
      <c r="Q73" s="18" t="n">
        <v>40</v>
      </c>
      <c r="R73" s="18" t="n">
        <v>40</v>
      </c>
      <c r="S73" s="18" t="n">
        <v>47</v>
      </c>
      <c r="T73" s="18" t="n">
        <v>43</v>
      </c>
      <c r="U73" s="18" t="n">
        <v>39</v>
      </c>
      <c r="V73" s="18" t="n">
        <v>36</v>
      </c>
      <c r="W73" s="20" t="n"/>
      <c r="X73" s="20" t="n"/>
      <c r="Y73" s="20" t="n"/>
      <c r="Z73" s="20" t="n"/>
      <c r="AA73" s="20" t="n"/>
      <c r="AB73" s="20" t="n"/>
      <c r="AC73" s="21">
        <f>IF(W73="","",W73-K73)</f>
        <v/>
      </c>
      <c r="AD73" s="21">
        <f>IF(X73="","",X73-L73)</f>
        <v/>
      </c>
      <c r="AE73" s="21">
        <f>IF(Y73="","",Y73-M73)</f>
        <v/>
      </c>
      <c r="AF73" s="21">
        <f>IF(Z73="","",Z73-N73)</f>
        <v/>
      </c>
      <c r="AG73" s="21">
        <f>IF(AA73="","",AA73-O73)</f>
        <v/>
      </c>
      <c r="AH73" s="21">
        <f>IF(AB73="","",AB73-P73)</f>
        <v/>
      </c>
      <c r="AI73" s="18">
        <f>IF(COUNTA(W73:AB73)=0,"未入力",IF(COUNTA(W73:AB73)&lt;6,"一部入力",IF(COUNTIF(AC73:AH73,0)=6,"一致","差分あり")))</f>
        <v/>
      </c>
      <c r="AJ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3" s="19" t="inlineStr"/>
      <c r="AL73" s="18" t="inlineStr">
        <is>
          <t>2026-06-29</t>
        </is>
      </c>
    </row>
    <row r="74" ht="22" customHeight="1">
      <c r="A74" s="17" t="inlineStr">
        <is>
          <t>1001405-LB4</t>
        </is>
      </c>
      <c r="B74" s="18" t="n">
        <v>1001405</v>
      </c>
      <c r="C74" s="17" t="inlineStr">
        <is>
          <t>TTojo05</t>
        </is>
      </c>
      <c r="D74" s="17" t="inlineStr">
        <is>
          <t>TTojo</t>
        </is>
      </c>
      <c r="E74" s="17" t="inlineStr">
        <is>
          <t>東城 つかさ</t>
        </is>
      </c>
      <c r="F74" s="19" t="inlineStr">
        <is>
          <t>シークレットサービス・サイレンス</t>
        </is>
      </c>
      <c r="G74" s="18" t="inlineStr">
        <is>
          <t>SS</t>
        </is>
      </c>
      <c r="H74" s="17" t="inlineStr">
        <is>
          <t>Buffer</t>
        </is>
      </c>
      <c r="I74" s="18" t="n">
        <v>4</v>
      </c>
      <c r="J74" s="18" t="n">
        <v>4</v>
      </c>
      <c r="K74" s="18" t="n">
        <v>480</v>
      </c>
      <c r="L74" s="18" t="n">
        <v>486</v>
      </c>
      <c r="M74" s="18" t="n">
        <v>561</v>
      </c>
      <c r="N74" s="18" t="n">
        <v>514</v>
      </c>
      <c r="O74" s="18" t="n">
        <v>471</v>
      </c>
      <c r="P74" s="18" t="n">
        <v>442</v>
      </c>
      <c r="Q74" s="18" t="n">
        <v>48</v>
      </c>
      <c r="R74" s="18" t="n">
        <v>49</v>
      </c>
      <c r="S74" s="18" t="n">
        <v>57</v>
      </c>
      <c r="T74" s="18" t="n">
        <v>52</v>
      </c>
      <c r="U74" s="18" t="n">
        <v>48</v>
      </c>
      <c r="V74" s="18" t="n">
        <v>45</v>
      </c>
      <c r="W74" s="20" t="n"/>
      <c r="X74" s="20" t="n"/>
      <c r="Y74" s="20" t="n"/>
      <c r="Z74" s="20" t="n"/>
      <c r="AA74" s="20" t="n"/>
      <c r="AB74" s="20" t="n"/>
      <c r="AC74" s="21">
        <f>IF(W74="","",W74-K74)</f>
        <v/>
      </c>
      <c r="AD74" s="21">
        <f>IF(X74="","",X74-L74)</f>
        <v/>
      </c>
      <c r="AE74" s="21">
        <f>IF(Y74="","",Y74-M74)</f>
        <v/>
      </c>
      <c r="AF74" s="21">
        <f>IF(Z74="","",Z74-N74)</f>
        <v/>
      </c>
      <c r="AG74" s="21">
        <f>IF(AA74="","",AA74-O74)</f>
        <v/>
      </c>
      <c r="AH74" s="21">
        <f>IF(AB74="","",AB74-P74)</f>
        <v/>
      </c>
      <c r="AI74" s="18">
        <f>IF(COUNTA(W74:AB74)=0,"未入力",IF(COUNTA(W74:AB74)&lt;6,"一部入力",IF(COUNTIF(AC74:AH74,0)=6,"一致","差分あり")))</f>
        <v/>
      </c>
      <c r="AJ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4" s="19" t="inlineStr"/>
      <c r="AL74" s="18" t="inlineStr">
        <is>
          <t>2026-06-29</t>
        </is>
      </c>
    </row>
    <row r="75" ht="22" customHeight="1">
      <c r="A75" s="17" t="inlineStr">
        <is>
          <t>1001406-LB0</t>
        </is>
      </c>
      <c r="B75" s="18" t="n">
        <v>1001406</v>
      </c>
      <c r="C75" s="17" t="inlineStr">
        <is>
          <t>TTojo06</t>
        </is>
      </c>
      <c r="D75" s="17" t="inlineStr">
        <is>
          <t>TTojo</t>
        </is>
      </c>
      <c r="E75" s="17" t="inlineStr">
        <is>
          <t>東城 つかさ</t>
        </is>
      </c>
      <c r="F75" s="19" t="inlineStr">
        <is>
          <t>バニーファイト・デビエーション</t>
        </is>
      </c>
      <c r="G75" s="18" t="inlineStr">
        <is>
          <t>SS</t>
        </is>
      </c>
      <c r="H75" s="17" t="inlineStr">
        <is>
          <t>Debuffer</t>
        </is>
      </c>
      <c r="I75" s="18" t="n">
        <v>0</v>
      </c>
      <c r="J75" s="18" t="n">
        <v>4</v>
      </c>
      <c r="K75" s="18" t="n">
        <v>394</v>
      </c>
      <c r="L75" s="18" t="n">
        <v>399</v>
      </c>
      <c r="M75" s="18" t="n">
        <v>466</v>
      </c>
      <c r="N75" s="18" t="n">
        <v>424</v>
      </c>
      <c r="O75" s="18" t="n">
        <v>384</v>
      </c>
      <c r="P75" s="18" t="n">
        <v>356</v>
      </c>
      <c r="Q75" s="18" t="n">
        <v>40</v>
      </c>
      <c r="R75" s="18" t="n">
        <v>40</v>
      </c>
      <c r="S75" s="18" t="n">
        <v>47</v>
      </c>
      <c r="T75" s="18" t="n">
        <v>43</v>
      </c>
      <c r="U75" s="18" t="n">
        <v>39</v>
      </c>
      <c r="V75" s="18" t="n">
        <v>36</v>
      </c>
      <c r="W75" s="20" t="n"/>
      <c r="X75" s="20" t="n"/>
      <c r="Y75" s="20" t="n"/>
      <c r="Z75" s="20" t="n"/>
      <c r="AA75" s="20" t="n"/>
      <c r="AB75" s="20" t="n"/>
      <c r="AC75" s="21">
        <f>IF(W75="","",W75-K75)</f>
        <v/>
      </c>
      <c r="AD75" s="21">
        <f>IF(X75="","",X75-L75)</f>
        <v/>
      </c>
      <c r="AE75" s="21">
        <f>IF(Y75="","",Y75-M75)</f>
        <v/>
      </c>
      <c r="AF75" s="21">
        <f>IF(Z75="","",Z75-N75)</f>
        <v/>
      </c>
      <c r="AG75" s="21">
        <f>IF(AA75="","",AA75-O75)</f>
        <v/>
      </c>
      <c r="AH75" s="21">
        <f>IF(AB75="","",AB75-P75)</f>
        <v/>
      </c>
      <c r="AI75" s="18">
        <f>IF(COUNTA(W75:AB75)=0,"未入力",IF(COUNTA(W75:AB75)&lt;6,"一部入力",IF(COUNTIF(AC75:AH75,0)=6,"一致","差分あり")))</f>
        <v/>
      </c>
      <c r="AJ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5" s="19" t="inlineStr"/>
      <c r="AL75" s="18" t="inlineStr">
        <is>
          <t>2026-06-29</t>
        </is>
      </c>
    </row>
    <row r="76" ht="22" customHeight="1">
      <c r="A76" s="17" t="inlineStr">
        <is>
          <t>1001406-LB4</t>
        </is>
      </c>
      <c r="B76" s="18" t="n">
        <v>1001406</v>
      </c>
      <c r="C76" s="17" t="inlineStr">
        <is>
          <t>TTojo06</t>
        </is>
      </c>
      <c r="D76" s="17" t="inlineStr">
        <is>
          <t>TTojo</t>
        </is>
      </c>
      <c r="E76" s="17" t="inlineStr">
        <is>
          <t>東城 つかさ</t>
        </is>
      </c>
      <c r="F76" s="19" t="inlineStr">
        <is>
          <t>バニーファイト・デビエーション</t>
        </is>
      </c>
      <c r="G76" s="18" t="inlineStr">
        <is>
          <t>SS</t>
        </is>
      </c>
      <c r="H76" s="17" t="inlineStr">
        <is>
          <t>Debuffer</t>
        </is>
      </c>
      <c r="I76" s="18" t="n">
        <v>4</v>
      </c>
      <c r="J76" s="18" t="n">
        <v>4</v>
      </c>
      <c r="K76" s="18" t="n">
        <v>480</v>
      </c>
      <c r="L76" s="18" t="n">
        <v>486</v>
      </c>
      <c r="M76" s="18" t="n">
        <v>561</v>
      </c>
      <c r="N76" s="18" t="n">
        <v>514</v>
      </c>
      <c r="O76" s="18" t="n">
        <v>471</v>
      </c>
      <c r="P76" s="18" t="n">
        <v>442</v>
      </c>
      <c r="Q76" s="18" t="n">
        <v>48</v>
      </c>
      <c r="R76" s="18" t="n">
        <v>49</v>
      </c>
      <c r="S76" s="18" t="n">
        <v>57</v>
      </c>
      <c r="T76" s="18" t="n">
        <v>52</v>
      </c>
      <c r="U76" s="18" t="n">
        <v>48</v>
      </c>
      <c r="V76" s="18" t="n">
        <v>45</v>
      </c>
      <c r="W76" s="20" t="n"/>
      <c r="X76" s="20" t="n"/>
      <c r="Y76" s="20" t="n"/>
      <c r="Z76" s="20" t="n"/>
      <c r="AA76" s="20" t="n"/>
      <c r="AB76" s="20" t="n"/>
      <c r="AC76" s="21">
        <f>IF(W76="","",W76-K76)</f>
        <v/>
      </c>
      <c r="AD76" s="21">
        <f>IF(X76="","",X76-L76)</f>
        <v/>
      </c>
      <c r="AE76" s="21">
        <f>IF(Y76="","",Y76-M76)</f>
        <v/>
      </c>
      <c r="AF76" s="21">
        <f>IF(Z76="","",Z76-N76)</f>
        <v/>
      </c>
      <c r="AG76" s="21">
        <f>IF(AA76="","",AA76-O76)</f>
        <v/>
      </c>
      <c r="AH76" s="21">
        <f>IF(AB76="","",AB76-P76)</f>
        <v/>
      </c>
      <c r="AI76" s="18">
        <f>IF(COUNTA(W76:AB76)=0,"未入力",IF(COUNTA(W76:AB76)&lt;6,"一部入力",IF(COUNTIF(AC76:AH76,0)=6,"一致","差分あり")))</f>
        <v/>
      </c>
      <c r="AJ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6" s="19" t="inlineStr"/>
      <c r="AL76" s="18" t="inlineStr">
        <is>
          <t>2026-06-29</t>
        </is>
      </c>
    </row>
    <row r="77" ht="22" customHeight="1">
      <c r="A77" s="17" t="inlineStr">
        <is>
          <t>1001407-LB0</t>
        </is>
      </c>
      <c r="B77" s="18" t="n">
        <v>1001407</v>
      </c>
      <c r="C77" s="17" t="inlineStr">
        <is>
          <t>TTojo07</t>
        </is>
      </c>
      <c r="D77" s="17" t="inlineStr">
        <is>
          <t>TTojo</t>
        </is>
      </c>
      <c r="E77" s="17" t="inlineStr">
        <is>
          <t>東城 つかさ</t>
        </is>
      </c>
      <c r="F77" s="19" t="inlineStr">
        <is>
          <t>そよかぜ</t>
        </is>
      </c>
      <c r="G77" s="18" t="inlineStr">
        <is>
          <t>S</t>
        </is>
      </c>
      <c r="H77" s="17" t="inlineStr">
        <is>
          <t>Buffer</t>
        </is>
      </c>
      <c r="I77" s="18" t="n">
        <v>0</v>
      </c>
      <c r="J77" s="18" t="n">
        <v>10</v>
      </c>
      <c r="K77" s="18" t="n">
        <v>313</v>
      </c>
      <c r="L77" s="18" t="n">
        <v>317</v>
      </c>
      <c r="M77" s="18" t="n">
        <v>377</v>
      </c>
      <c r="N77" s="18" t="n">
        <v>360</v>
      </c>
      <c r="O77" s="18" t="n">
        <v>305</v>
      </c>
      <c r="P77" s="18" t="n">
        <v>300</v>
      </c>
      <c r="Q77" s="18" t="n">
        <v>32</v>
      </c>
      <c r="R77" s="18" t="n">
        <v>32</v>
      </c>
      <c r="S77" s="18" t="n">
        <v>38</v>
      </c>
      <c r="T77" s="18" t="n">
        <v>36</v>
      </c>
      <c r="U77" s="18" t="n">
        <v>31</v>
      </c>
      <c r="V77" s="18" t="n">
        <v>30</v>
      </c>
      <c r="W77" s="20" t="n"/>
      <c r="X77" s="20" t="n"/>
      <c r="Y77" s="20" t="n"/>
      <c r="Z77" s="20" t="n"/>
      <c r="AA77" s="20" t="n"/>
      <c r="AB77" s="20" t="n"/>
      <c r="AC77" s="21">
        <f>IF(W77="","",W77-K77)</f>
        <v/>
      </c>
      <c r="AD77" s="21">
        <f>IF(X77="","",X77-L77)</f>
        <v/>
      </c>
      <c r="AE77" s="21">
        <f>IF(Y77="","",Y77-M77)</f>
        <v/>
      </c>
      <c r="AF77" s="21">
        <f>IF(Z77="","",Z77-N77)</f>
        <v/>
      </c>
      <c r="AG77" s="21">
        <f>IF(AA77="","",AA77-O77)</f>
        <v/>
      </c>
      <c r="AH77" s="21">
        <f>IF(AB77="","",AB77-P77)</f>
        <v/>
      </c>
      <c r="AI77" s="18">
        <f>IF(COUNTA(W77:AB77)=0,"未入力",IF(COUNTA(W77:AB77)&lt;6,"一部入力",IF(COUNTIF(AC77:AH77,0)=6,"一致","差分あり")))</f>
        <v/>
      </c>
      <c r="AJ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7" s="19" t="inlineStr"/>
      <c r="AL77" s="18" t="inlineStr">
        <is>
          <t>2026-06-29</t>
        </is>
      </c>
    </row>
    <row r="78" ht="22" customHeight="1">
      <c r="A78" s="17" t="inlineStr">
        <is>
          <t>1001407-LB10</t>
        </is>
      </c>
      <c r="B78" s="18" t="n">
        <v>1001407</v>
      </c>
      <c r="C78" s="17" t="inlineStr">
        <is>
          <t>TTojo07</t>
        </is>
      </c>
      <c r="D78" s="17" t="inlineStr">
        <is>
          <t>TTojo</t>
        </is>
      </c>
      <c r="E78" s="17" t="inlineStr">
        <is>
          <t>東城 つかさ</t>
        </is>
      </c>
      <c r="F78" s="19" t="inlineStr">
        <is>
          <t>そよかぜ</t>
        </is>
      </c>
      <c r="G78" s="18" t="inlineStr">
        <is>
          <t>S</t>
        </is>
      </c>
      <c r="H78" s="17" t="inlineStr">
        <is>
          <t>Buffer</t>
        </is>
      </c>
      <c r="I78" s="18" t="n">
        <v>10</v>
      </c>
      <c r="J78" s="18" t="n">
        <v>10</v>
      </c>
      <c r="K78" s="18" t="n">
        <v>378</v>
      </c>
      <c r="L78" s="18" t="n">
        <v>383</v>
      </c>
      <c r="M78" s="18" t="n">
        <v>448</v>
      </c>
      <c r="N78" s="18" t="n">
        <v>428</v>
      </c>
      <c r="O78" s="18" t="n">
        <v>370</v>
      </c>
      <c r="P78" s="18" t="n">
        <v>364</v>
      </c>
      <c r="Q78" s="18" t="n">
        <v>38</v>
      </c>
      <c r="R78" s="18" t="n">
        <v>39</v>
      </c>
      <c r="S78" s="18" t="n">
        <v>45</v>
      </c>
      <c r="T78" s="18" t="n">
        <v>43</v>
      </c>
      <c r="U78" s="18" t="n">
        <v>37</v>
      </c>
      <c r="V78" s="18" t="n">
        <v>37</v>
      </c>
      <c r="W78" s="20" t="n"/>
      <c r="X78" s="20" t="n"/>
      <c r="Y78" s="20" t="n"/>
      <c r="Z78" s="20" t="n"/>
      <c r="AA78" s="20" t="n"/>
      <c r="AB78" s="20" t="n"/>
      <c r="AC78" s="21">
        <f>IF(W78="","",W78-K78)</f>
        <v/>
      </c>
      <c r="AD78" s="21">
        <f>IF(X78="","",X78-L78)</f>
        <v/>
      </c>
      <c r="AE78" s="21">
        <f>IF(Y78="","",Y78-M78)</f>
        <v/>
      </c>
      <c r="AF78" s="21">
        <f>IF(Z78="","",Z78-N78)</f>
        <v/>
      </c>
      <c r="AG78" s="21">
        <f>IF(AA78="","",AA78-O78)</f>
        <v/>
      </c>
      <c r="AH78" s="21">
        <f>IF(AB78="","",AB78-P78)</f>
        <v/>
      </c>
      <c r="AI78" s="18">
        <f>IF(COUNTA(W78:AB78)=0,"未入力",IF(COUNTA(W78:AB78)&lt;6,"一部入力",IF(COUNTIF(AC78:AH78,0)=6,"一致","差分あり")))</f>
        <v/>
      </c>
      <c r="AJ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8" s="19" t="inlineStr"/>
      <c r="AL78" s="18" t="inlineStr">
        <is>
          <t>2026-06-29</t>
        </is>
      </c>
    </row>
    <row r="79" ht="22" customHeight="1">
      <c r="A79" s="17" t="inlineStr">
        <is>
          <t>1001408-LB0</t>
        </is>
      </c>
      <c r="B79" s="18" t="n">
        <v>1001408</v>
      </c>
      <c r="C79" s="17" t="inlineStr">
        <is>
          <t>TTojo08</t>
        </is>
      </c>
      <c r="D79" s="17" t="inlineStr">
        <is>
          <t>TTojo</t>
        </is>
      </c>
      <c r="E79" s="17" t="inlineStr">
        <is>
          <t>東城 つかさ</t>
        </is>
      </c>
      <c r="F79" s="19" t="inlineStr">
        <is>
          <t>哀情のラメント</t>
        </is>
      </c>
      <c r="G79" s="18" t="inlineStr">
        <is>
          <t>SS</t>
        </is>
      </c>
      <c r="H79" s="17" t="inlineStr">
        <is>
          <t>Buffer</t>
        </is>
      </c>
      <c r="I79" s="18" t="n">
        <v>0</v>
      </c>
      <c r="J79" s="18" t="n">
        <v>4</v>
      </c>
      <c r="K79" s="18" t="n">
        <v>394</v>
      </c>
      <c r="L79" s="18" t="n">
        <v>399</v>
      </c>
      <c r="M79" s="18" t="n">
        <v>466</v>
      </c>
      <c r="N79" s="18" t="n">
        <v>424</v>
      </c>
      <c r="O79" s="18" t="n">
        <v>384</v>
      </c>
      <c r="P79" s="18" t="n">
        <v>356</v>
      </c>
      <c r="Q79" s="18" t="n">
        <v>40</v>
      </c>
      <c r="R79" s="18" t="n">
        <v>40</v>
      </c>
      <c r="S79" s="18" t="n">
        <v>47</v>
      </c>
      <c r="T79" s="18" t="n">
        <v>43</v>
      </c>
      <c r="U79" s="18" t="n">
        <v>39</v>
      </c>
      <c r="V79" s="18" t="n">
        <v>36</v>
      </c>
      <c r="W79" s="20" t="n"/>
      <c r="X79" s="20" t="n"/>
      <c r="Y79" s="20" t="n"/>
      <c r="Z79" s="20" t="n"/>
      <c r="AA79" s="20" t="n"/>
      <c r="AB79" s="20" t="n"/>
      <c r="AC79" s="21">
        <f>IF(W79="","",W79-K79)</f>
        <v/>
      </c>
      <c r="AD79" s="21">
        <f>IF(X79="","",X79-L79)</f>
        <v/>
      </c>
      <c r="AE79" s="21">
        <f>IF(Y79="","",Y79-M79)</f>
        <v/>
      </c>
      <c r="AF79" s="21">
        <f>IF(Z79="","",Z79-N79)</f>
        <v/>
      </c>
      <c r="AG79" s="21">
        <f>IF(AA79="","",AA79-O79)</f>
        <v/>
      </c>
      <c r="AH79" s="21">
        <f>IF(AB79="","",AB79-P79)</f>
        <v/>
      </c>
      <c r="AI79" s="18">
        <f>IF(COUNTA(W79:AB79)=0,"未入力",IF(COUNTA(W79:AB79)&lt;6,"一部入力",IF(COUNTIF(AC79:AH79,0)=6,"一致","差分あり")))</f>
        <v/>
      </c>
      <c r="AJ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9" s="19" t="inlineStr"/>
      <c r="AL79" s="18" t="inlineStr">
        <is>
          <t>2026-06-29</t>
        </is>
      </c>
    </row>
    <row r="80" ht="22" customHeight="1">
      <c r="A80" s="17" t="inlineStr">
        <is>
          <t>1001408-LB4</t>
        </is>
      </c>
      <c r="B80" s="18" t="n">
        <v>1001408</v>
      </c>
      <c r="C80" s="17" t="inlineStr">
        <is>
          <t>TTojo08</t>
        </is>
      </c>
      <c r="D80" s="17" t="inlineStr">
        <is>
          <t>TTojo</t>
        </is>
      </c>
      <c r="E80" s="17" t="inlineStr">
        <is>
          <t>東城 つかさ</t>
        </is>
      </c>
      <c r="F80" s="19" t="inlineStr">
        <is>
          <t>哀情のラメント</t>
        </is>
      </c>
      <c r="G80" s="18" t="inlineStr">
        <is>
          <t>SS</t>
        </is>
      </c>
      <c r="H80" s="17" t="inlineStr">
        <is>
          <t>Buffer</t>
        </is>
      </c>
      <c r="I80" s="18" t="n">
        <v>4</v>
      </c>
      <c r="J80" s="18" t="n">
        <v>4</v>
      </c>
      <c r="K80" s="18" t="n">
        <v>480</v>
      </c>
      <c r="L80" s="18" t="n">
        <v>486</v>
      </c>
      <c r="M80" s="18" t="n">
        <v>561</v>
      </c>
      <c r="N80" s="18" t="n">
        <v>514</v>
      </c>
      <c r="O80" s="18" t="n">
        <v>471</v>
      </c>
      <c r="P80" s="18" t="n">
        <v>442</v>
      </c>
      <c r="Q80" s="18" t="n">
        <v>48</v>
      </c>
      <c r="R80" s="18" t="n">
        <v>49</v>
      </c>
      <c r="S80" s="18" t="n">
        <v>57</v>
      </c>
      <c r="T80" s="18" t="n">
        <v>52</v>
      </c>
      <c r="U80" s="18" t="n">
        <v>48</v>
      </c>
      <c r="V80" s="18" t="n">
        <v>45</v>
      </c>
      <c r="W80" s="20" t="n"/>
      <c r="X80" s="20" t="n"/>
      <c r="Y80" s="20" t="n"/>
      <c r="Z80" s="20" t="n"/>
      <c r="AA80" s="20" t="n"/>
      <c r="AB80" s="20" t="n"/>
      <c r="AC80" s="21">
        <f>IF(W80="","",W80-K80)</f>
        <v/>
      </c>
      <c r="AD80" s="21">
        <f>IF(X80="","",X80-L80)</f>
        <v/>
      </c>
      <c r="AE80" s="21">
        <f>IF(Y80="","",Y80-M80)</f>
        <v/>
      </c>
      <c r="AF80" s="21">
        <f>IF(Z80="","",Z80-N80)</f>
        <v/>
      </c>
      <c r="AG80" s="21">
        <f>IF(AA80="","",AA80-O80)</f>
        <v/>
      </c>
      <c r="AH80" s="21">
        <f>IF(AB80="","",AB80-P80)</f>
        <v/>
      </c>
      <c r="AI80" s="18">
        <f>IF(COUNTA(W80:AB80)=0,"未入力",IF(COUNTA(W80:AB80)&lt;6,"一部入力",IF(COUNTIF(AC80:AH80,0)=6,"一致","差分あり")))</f>
        <v/>
      </c>
      <c r="AJ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0" s="19" t="inlineStr"/>
      <c r="AL80" s="18" t="inlineStr">
        <is>
          <t>2026-06-29</t>
        </is>
      </c>
    </row>
    <row r="81" ht="22" customHeight="1">
      <c r="A81" s="17" t="inlineStr">
        <is>
          <t>1001409-LB0</t>
        </is>
      </c>
      <c r="B81" s="18" t="n">
        <v>1001409</v>
      </c>
      <c r="C81" s="17" t="inlineStr">
        <is>
          <t>TTojo09</t>
        </is>
      </c>
      <c r="D81" s="17" t="inlineStr">
        <is>
          <t>TTojo</t>
        </is>
      </c>
      <c r="E81" s="17" t="inlineStr">
        <is>
          <t>東城 つかさ</t>
        </is>
      </c>
      <c r="F81" s="19" t="inlineStr">
        <is>
          <t>激情のファム・ファタール</t>
        </is>
      </c>
      <c r="G81" s="18" t="inlineStr">
        <is>
          <t>SSR</t>
        </is>
      </c>
      <c r="H81" s="17" t="inlineStr">
        <is>
          <t>Buffer</t>
        </is>
      </c>
      <c r="I81" s="18" t="n">
        <v>0</v>
      </c>
      <c r="J81" s="18" t="n">
        <v>4</v>
      </c>
      <c r="K81" s="18" t="n">
        <v>394</v>
      </c>
      <c r="L81" s="18" t="n">
        <v>399</v>
      </c>
      <c r="M81" s="18" t="n">
        <v>466</v>
      </c>
      <c r="N81" s="18" t="n">
        <v>424</v>
      </c>
      <c r="O81" s="18" t="n">
        <v>384</v>
      </c>
      <c r="P81" s="18" t="n">
        <v>356</v>
      </c>
      <c r="Q81" s="18" t="n">
        <v>40</v>
      </c>
      <c r="R81" s="18" t="n">
        <v>40</v>
      </c>
      <c r="S81" s="18" t="n">
        <v>47</v>
      </c>
      <c r="T81" s="18" t="n">
        <v>43</v>
      </c>
      <c r="U81" s="18" t="n">
        <v>39</v>
      </c>
      <c r="V81" s="18" t="n">
        <v>36</v>
      </c>
      <c r="W81" s="20" t="n"/>
      <c r="X81" s="20" t="n"/>
      <c r="Y81" s="20" t="n"/>
      <c r="Z81" s="20" t="n"/>
      <c r="AA81" s="20" t="n"/>
      <c r="AB81" s="20" t="n"/>
      <c r="AC81" s="21">
        <f>IF(W81="","",W81-K81)</f>
        <v/>
      </c>
      <c r="AD81" s="21">
        <f>IF(X81="","",X81-L81)</f>
        <v/>
      </c>
      <c r="AE81" s="21">
        <f>IF(Y81="","",Y81-M81)</f>
        <v/>
      </c>
      <c r="AF81" s="21">
        <f>IF(Z81="","",Z81-N81)</f>
        <v/>
      </c>
      <c r="AG81" s="21">
        <f>IF(AA81="","",AA81-O81)</f>
        <v/>
      </c>
      <c r="AH81" s="21">
        <f>IF(AB81="","",AB81-P81)</f>
        <v/>
      </c>
      <c r="AI81" s="18">
        <f>IF(COUNTA(W81:AB81)=0,"未入力",IF(COUNTA(W81:AB81)&lt;6,"一部入力",IF(COUNTIF(AC81:AH81,0)=6,"一致","差分あり")))</f>
        <v/>
      </c>
      <c r="AJ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1" s="19" t="inlineStr"/>
      <c r="AL81" s="18" t="inlineStr">
        <is>
          <t>2026-06-29</t>
        </is>
      </c>
    </row>
    <row r="82" ht="22" customHeight="1">
      <c r="A82" s="17" t="inlineStr">
        <is>
          <t>1001409-LB4</t>
        </is>
      </c>
      <c r="B82" s="18" t="n">
        <v>1001409</v>
      </c>
      <c r="C82" s="17" t="inlineStr">
        <is>
          <t>TTojo09</t>
        </is>
      </c>
      <c r="D82" s="17" t="inlineStr">
        <is>
          <t>TTojo</t>
        </is>
      </c>
      <c r="E82" s="17" t="inlineStr">
        <is>
          <t>東城 つかさ</t>
        </is>
      </c>
      <c r="F82" s="19" t="inlineStr">
        <is>
          <t>激情のファム・ファタール</t>
        </is>
      </c>
      <c r="G82" s="18" t="inlineStr">
        <is>
          <t>SSR</t>
        </is>
      </c>
      <c r="H82" s="17" t="inlineStr">
        <is>
          <t>Buffer</t>
        </is>
      </c>
      <c r="I82" s="18" t="n">
        <v>4</v>
      </c>
      <c r="J82" s="18" t="n">
        <v>4</v>
      </c>
      <c r="K82" s="18" t="n">
        <v>480</v>
      </c>
      <c r="L82" s="18" t="n">
        <v>486</v>
      </c>
      <c r="M82" s="18" t="n">
        <v>561</v>
      </c>
      <c r="N82" s="18" t="n">
        <v>514</v>
      </c>
      <c r="O82" s="18" t="n">
        <v>471</v>
      </c>
      <c r="P82" s="18" t="n">
        <v>442</v>
      </c>
      <c r="Q82" s="18" t="n">
        <v>48</v>
      </c>
      <c r="R82" s="18" t="n">
        <v>49</v>
      </c>
      <c r="S82" s="18" t="n">
        <v>57</v>
      </c>
      <c r="T82" s="18" t="n">
        <v>52</v>
      </c>
      <c r="U82" s="18" t="n">
        <v>48</v>
      </c>
      <c r="V82" s="18" t="n">
        <v>45</v>
      </c>
      <c r="W82" s="20" t="n"/>
      <c r="X82" s="20" t="n"/>
      <c r="Y82" s="20" t="n"/>
      <c r="Z82" s="20" t="n"/>
      <c r="AA82" s="20" t="n"/>
      <c r="AB82" s="20" t="n"/>
      <c r="AC82" s="21">
        <f>IF(W82="","",W82-K82)</f>
        <v/>
      </c>
      <c r="AD82" s="21">
        <f>IF(X82="","",X82-L82)</f>
        <v/>
      </c>
      <c r="AE82" s="21">
        <f>IF(Y82="","",Y82-M82)</f>
        <v/>
      </c>
      <c r="AF82" s="21">
        <f>IF(Z82="","",Z82-N82)</f>
        <v/>
      </c>
      <c r="AG82" s="21">
        <f>IF(AA82="","",AA82-O82)</f>
        <v/>
      </c>
      <c r="AH82" s="21">
        <f>IF(AB82="","",AB82-P82)</f>
        <v/>
      </c>
      <c r="AI82" s="18">
        <f>IF(COUNTA(W82:AB82)=0,"未入力",IF(COUNTA(W82:AB82)&lt;6,"一部入力",IF(COUNTIF(AC82:AH82,0)=6,"一致","差分あり")))</f>
        <v/>
      </c>
      <c r="AJ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2" s="19" t="inlineStr"/>
      <c r="AL82" s="18" t="inlineStr">
        <is>
          <t>2026-06-29</t>
        </is>
      </c>
    </row>
    <row r="83" ht="22" customHeight="1">
      <c r="A83" s="17" t="inlineStr">
        <is>
          <t>1001501-LB0</t>
        </is>
      </c>
      <c r="B83" s="18" t="n">
        <v>1001501</v>
      </c>
      <c r="C83" s="17" t="inlineStr">
        <is>
          <t>KAsakura01</t>
        </is>
      </c>
      <c r="D83" s="17" t="inlineStr">
        <is>
          <t>KAsakura</t>
        </is>
      </c>
      <c r="E83" s="17" t="inlineStr">
        <is>
          <t>朝倉 可憐</t>
        </is>
      </c>
      <c r="F83" s="19" t="inlineStr">
        <is>
          <t>Laugh or Cry</t>
        </is>
      </c>
      <c r="G83" s="18" t="inlineStr">
        <is>
          <t>A</t>
        </is>
      </c>
      <c r="H83" s="17" t="inlineStr">
        <is>
          <t>Blaster</t>
        </is>
      </c>
      <c r="I83" s="18" t="n">
        <v>0</v>
      </c>
      <c r="J83" s="18" t="n">
        <v>20</v>
      </c>
      <c r="K83" s="18" t="n">
        <v>300</v>
      </c>
      <c r="L83" s="18" t="n">
        <v>282</v>
      </c>
      <c r="M83" s="18" t="n">
        <v>286</v>
      </c>
      <c r="N83" s="18" t="n">
        <v>284</v>
      </c>
      <c r="O83" s="18" t="n">
        <v>250</v>
      </c>
      <c r="P83" s="18" t="n">
        <v>250</v>
      </c>
      <c r="Q83" s="18" t="n">
        <v>30</v>
      </c>
      <c r="R83" s="18" t="n">
        <v>29</v>
      </c>
      <c r="S83" s="18" t="n">
        <v>29</v>
      </c>
      <c r="T83" s="18" t="n">
        <v>29</v>
      </c>
      <c r="U83" s="18" t="n">
        <v>25</v>
      </c>
      <c r="V83" s="18" t="n">
        <v>25</v>
      </c>
      <c r="W83" s="20" t="n"/>
      <c r="X83" s="20" t="n"/>
      <c r="Y83" s="20" t="n"/>
      <c r="Z83" s="20" t="n"/>
      <c r="AA83" s="20" t="n"/>
      <c r="AB83" s="20" t="n"/>
      <c r="AC83" s="21">
        <f>IF(W83="","",W83-K83)</f>
        <v/>
      </c>
      <c r="AD83" s="21">
        <f>IF(X83="","",X83-L83)</f>
        <v/>
      </c>
      <c r="AE83" s="21">
        <f>IF(Y83="","",Y83-M83)</f>
        <v/>
      </c>
      <c r="AF83" s="21">
        <f>IF(Z83="","",Z83-N83)</f>
        <v/>
      </c>
      <c r="AG83" s="21">
        <f>IF(AA83="","",AA83-O83)</f>
        <v/>
      </c>
      <c r="AH83" s="21">
        <f>IF(AB83="","",AB83-P83)</f>
        <v/>
      </c>
      <c r="AI83" s="18">
        <f>IF(COUNTA(W83:AB83)=0,"未入力",IF(COUNTA(W83:AB83)&lt;6,"一部入力",IF(COUNTIF(AC83:AH83,0)=6,"一致","差分あり")))</f>
        <v/>
      </c>
      <c r="AJ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3" s="19" t="inlineStr"/>
      <c r="AL83" s="18" t="inlineStr">
        <is>
          <t>2026-06-29</t>
        </is>
      </c>
    </row>
    <row r="84" ht="22" customHeight="1">
      <c r="A84" s="17" t="inlineStr">
        <is>
          <t>1001501-LB20</t>
        </is>
      </c>
      <c r="B84" s="18" t="n">
        <v>1001501</v>
      </c>
      <c r="C84" s="17" t="inlineStr">
        <is>
          <t>KAsakura01</t>
        </is>
      </c>
      <c r="D84" s="17" t="inlineStr">
        <is>
          <t>KAsakura</t>
        </is>
      </c>
      <c r="E84" s="17" t="inlineStr">
        <is>
          <t>朝倉 可憐</t>
        </is>
      </c>
      <c r="F84" s="19" t="inlineStr">
        <is>
          <t>Laugh or Cry</t>
        </is>
      </c>
      <c r="G84" s="18" t="inlineStr">
        <is>
          <t>A</t>
        </is>
      </c>
      <c r="H84" s="17" t="inlineStr">
        <is>
          <t>Blaster</t>
        </is>
      </c>
      <c r="I84" s="18" t="n">
        <v>20</v>
      </c>
      <c r="J84" s="18" t="n">
        <v>20</v>
      </c>
      <c r="K84" s="18" t="n">
        <v>348</v>
      </c>
      <c r="L84" s="18" t="n">
        <v>326</v>
      </c>
      <c r="M84" s="18" t="n">
        <v>331</v>
      </c>
      <c r="N84" s="18" t="n">
        <v>326</v>
      </c>
      <c r="O84" s="18" t="n">
        <v>294</v>
      </c>
      <c r="P84" s="18" t="n">
        <v>294</v>
      </c>
      <c r="Q84" s="18" t="n">
        <v>35</v>
      </c>
      <c r="R84" s="18" t="n">
        <v>33</v>
      </c>
      <c r="S84" s="18" t="n">
        <v>34</v>
      </c>
      <c r="T84" s="18" t="n">
        <v>33</v>
      </c>
      <c r="U84" s="18" t="n">
        <v>30</v>
      </c>
      <c r="V84" s="18" t="n">
        <v>30</v>
      </c>
      <c r="W84" s="20" t="n"/>
      <c r="X84" s="20" t="n"/>
      <c r="Y84" s="20" t="n"/>
      <c r="Z84" s="20" t="n"/>
      <c r="AA84" s="20" t="n"/>
      <c r="AB84" s="20" t="n"/>
      <c r="AC84" s="21">
        <f>IF(W84="","",W84-K84)</f>
        <v/>
      </c>
      <c r="AD84" s="21">
        <f>IF(X84="","",X84-L84)</f>
        <v/>
      </c>
      <c r="AE84" s="21">
        <f>IF(Y84="","",Y84-M84)</f>
        <v/>
      </c>
      <c r="AF84" s="21">
        <f>IF(Z84="","",Z84-N84)</f>
        <v/>
      </c>
      <c r="AG84" s="21">
        <f>IF(AA84="","",AA84-O84)</f>
        <v/>
      </c>
      <c r="AH84" s="21">
        <f>IF(AB84="","",AB84-P84)</f>
        <v/>
      </c>
      <c r="AI84" s="18">
        <f>IF(COUNTA(W84:AB84)=0,"未入力",IF(COUNTA(W84:AB84)&lt;6,"一部入力",IF(COUNTIF(AC84:AH84,0)=6,"一致","差分あり")))</f>
        <v/>
      </c>
      <c r="AJ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4" s="19" t="inlineStr"/>
      <c r="AL84" s="18" t="inlineStr">
        <is>
          <t>2026-06-29</t>
        </is>
      </c>
    </row>
    <row r="85" ht="22" customHeight="1">
      <c r="A85" s="17" t="inlineStr">
        <is>
          <t>1001502-LB0</t>
        </is>
      </c>
      <c r="B85" s="18" t="n">
        <v>1001502</v>
      </c>
      <c r="C85" s="17" t="inlineStr">
        <is>
          <t>KAsakura02</t>
        </is>
      </c>
      <c r="D85" s="17" t="inlineStr">
        <is>
          <t>KAsakura</t>
        </is>
      </c>
      <c r="E85" s="17" t="inlineStr">
        <is>
          <t>朝倉 可憐</t>
        </is>
      </c>
      <c r="F85" s="19" t="inlineStr">
        <is>
          <t>最前線のブルワーク</t>
        </is>
      </c>
      <c r="G85" s="18" t="inlineStr">
        <is>
          <t>S</t>
        </is>
      </c>
      <c r="H85" s="17" t="inlineStr">
        <is>
          <t>Blaster</t>
        </is>
      </c>
      <c r="I85" s="18" t="n">
        <v>0</v>
      </c>
      <c r="J85" s="18" t="n">
        <v>10</v>
      </c>
      <c r="K85" s="18" t="n">
        <v>328</v>
      </c>
      <c r="L85" s="18" t="n">
        <v>350</v>
      </c>
      <c r="M85" s="18" t="n">
        <v>314</v>
      </c>
      <c r="N85" s="18" t="n">
        <v>300</v>
      </c>
      <c r="O85" s="18" t="n">
        <v>354</v>
      </c>
      <c r="P85" s="18" t="n">
        <v>321</v>
      </c>
      <c r="Q85" s="18" t="n">
        <v>33</v>
      </c>
      <c r="R85" s="18" t="n">
        <v>35</v>
      </c>
      <c r="S85" s="18" t="n">
        <v>32</v>
      </c>
      <c r="T85" s="18" t="n">
        <v>30</v>
      </c>
      <c r="U85" s="18" t="n">
        <v>36</v>
      </c>
      <c r="V85" s="18" t="n">
        <v>33</v>
      </c>
      <c r="W85" s="20" t="n"/>
      <c r="X85" s="20" t="n"/>
      <c r="Y85" s="20" t="n"/>
      <c r="Z85" s="20" t="n"/>
      <c r="AA85" s="20" t="n"/>
      <c r="AB85" s="20" t="n"/>
      <c r="AC85" s="21">
        <f>IF(W85="","",W85-K85)</f>
        <v/>
      </c>
      <c r="AD85" s="21">
        <f>IF(X85="","",X85-L85)</f>
        <v/>
      </c>
      <c r="AE85" s="21">
        <f>IF(Y85="","",Y85-M85)</f>
        <v/>
      </c>
      <c r="AF85" s="21">
        <f>IF(Z85="","",Z85-N85)</f>
        <v/>
      </c>
      <c r="AG85" s="21">
        <f>IF(AA85="","",AA85-O85)</f>
        <v/>
      </c>
      <c r="AH85" s="21">
        <f>IF(AB85="","",AB85-P85)</f>
        <v/>
      </c>
      <c r="AI85" s="18">
        <f>IF(COUNTA(W85:AB85)=0,"未入力",IF(COUNTA(W85:AB85)&lt;6,"一部入力",IF(COUNTIF(AC85:AH85,0)=6,"一致","差分あり")))</f>
        <v/>
      </c>
      <c r="AJ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5" s="19" t="inlineStr"/>
      <c r="AL85" s="18" t="inlineStr">
        <is>
          <t>2026-06-29</t>
        </is>
      </c>
    </row>
    <row r="86" ht="22" customHeight="1">
      <c r="A86" s="17" t="inlineStr">
        <is>
          <t>1001502-LB10</t>
        </is>
      </c>
      <c r="B86" s="18" t="n">
        <v>1001502</v>
      </c>
      <c r="C86" s="17" t="inlineStr">
        <is>
          <t>KAsakura02</t>
        </is>
      </c>
      <c r="D86" s="17" t="inlineStr">
        <is>
          <t>KAsakura</t>
        </is>
      </c>
      <c r="E86" s="17" t="inlineStr">
        <is>
          <t>朝倉 可憐</t>
        </is>
      </c>
      <c r="F86" s="19" t="inlineStr">
        <is>
          <t>最前線のブルワーク</t>
        </is>
      </c>
      <c r="G86" s="18" t="inlineStr">
        <is>
          <t>S</t>
        </is>
      </c>
      <c r="H86" s="17" t="inlineStr">
        <is>
          <t>Blaster</t>
        </is>
      </c>
      <c r="I86" s="18" t="n">
        <v>10</v>
      </c>
      <c r="J86" s="18" t="n">
        <v>10</v>
      </c>
      <c r="K86" s="18" t="n">
        <v>399</v>
      </c>
      <c r="L86" s="18" t="n">
        <v>419</v>
      </c>
      <c r="M86" s="18" t="n">
        <v>380</v>
      </c>
      <c r="N86" s="18" t="n">
        <v>364</v>
      </c>
      <c r="O86" s="18" t="n">
        <v>421</v>
      </c>
      <c r="P86" s="18" t="n">
        <v>388</v>
      </c>
      <c r="Q86" s="18" t="n">
        <v>40</v>
      </c>
      <c r="R86" s="18" t="n">
        <v>42</v>
      </c>
      <c r="S86" s="18" t="n">
        <v>38</v>
      </c>
      <c r="T86" s="18" t="n">
        <v>37</v>
      </c>
      <c r="U86" s="18" t="n">
        <v>43</v>
      </c>
      <c r="V86" s="18" t="n">
        <v>39</v>
      </c>
      <c r="W86" s="20" t="n"/>
      <c r="X86" s="20" t="n"/>
      <c r="Y86" s="20" t="n"/>
      <c r="Z86" s="20" t="n"/>
      <c r="AA86" s="20" t="n"/>
      <c r="AB86" s="20" t="n"/>
      <c r="AC86" s="21">
        <f>IF(W86="","",W86-K86)</f>
        <v/>
      </c>
      <c r="AD86" s="21">
        <f>IF(X86="","",X86-L86)</f>
        <v/>
      </c>
      <c r="AE86" s="21">
        <f>IF(Y86="","",Y86-M86)</f>
        <v/>
      </c>
      <c r="AF86" s="21">
        <f>IF(Z86="","",Z86-N86)</f>
        <v/>
      </c>
      <c r="AG86" s="21">
        <f>IF(AA86="","",AA86-O86)</f>
        <v/>
      </c>
      <c r="AH86" s="21">
        <f>IF(AB86="","",AB86-P86)</f>
        <v/>
      </c>
      <c r="AI86" s="18">
        <f>IF(COUNTA(W86:AB86)=0,"未入力",IF(COUNTA(W86:AB86)&lt;6,"一部入力",IF(COUNTIF(AC86:AH86,0)=6,"一致","差分あり")))</f>
        <v/>
      </c>
      <c r="AJ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6" s="19" t="inlineStr"/>
      <c r="AL86" s="18" t="inlineStr">
        <is>
          <t>2026-06-29</t>
        </is>
      </c>
    </row>
    <row r="87" ht="22" customHeight="1">
      <c r="A87" s="17" t="inlineStr">
        <is>
          <t>1001503-LB0</t>
        </is>
      </c>
      <c r="B87" s="18" t="n">
        <v>1001503</v>
      </c>
      <c r="C87" s="17" t="inlineStr">
        <is>
          <t>KAsakura03</t>
        </is>
      </c>
      <c r="D87" s="17" t="inlineStr">
        <is>
          <t>KAsakura</t>
        </is>
      </c>
      <c r="E87" s="17" t="inlineStr">
        <is>
          <t>朝倉 可憐</t>
        </is>
      </c>
      <c r="F87" s="19" t="inlineStr">
        <is>
          <t>紅蓮月華のKillrazor</t>
        </is>
      </c>
      <c r="G87" s="18" t="inlineStr">
        <is>
          <t>SS</t>
        </is>
      </c>
      <c r="H87" s="17" t="inlineStr">
        <is>
          <t>Blaster</t>
        </is>
      </c>
      <c r="I87" s="18" t="n">
        <v>0</v>
      </c>
      <c r="J87" s="18" t="n">
        <v>4</v>
      </c>
      <c r="K87" s="18" t="n">
        <v>441</v>
      </c>
      <c r="L87" s="18" t="n">
        <v>345</v>
      </c>
      <c r="M87" s="18" t="n">
        <v>361</v>
      </c>
      <c r="N87" s="18" t="n">
        <v>369</v>
      </c>
      <c r="O87" s="18" t="n">
        <v>382</v>
      </c>
      <c r="P87" s="18" t="n">
        <v>395</v>
      </c>
      <c r="Q87" s="18" t="n">
        <v>45</v>
      </c>
      <c r="R87" s="18" t="n">
        <v>35</v>
      </c>
      <c r="S87" s="18" t="n">
        <v>37</v>
      </c>
      <c r="T87" s="18" t="n">
        <v>37</v>
      </c>
      <c r="U87" s="18" t="n">
        <v>39</v>
      </c>
      <c r="V87" s="18" t="n">
        <v>40</v>
      </c>
      <c r="W87" s="20" t="n"/>
      <c r="X87" s="20" t="n"/>
      <c r="Y87" s="20" t="n"/>
      <c r="Z87" s="20" t="n"/>
      <c r="AA87" s="20" t="n"/>
      <c r="AB87" s="20" t="n"/>
      <c r="AC87" s="21">
        <f>IF(W87="","",W87-K87)</f>
        <v/>
      </c>
      <c r="AD87" s="21">
        <f>IF(X87="","",X87-L87)</f>
        <v/>
      </c>
      <c r="AE87" s="21">
        <f>IF(Y87="","",Y87-M87)</f>
        <v/>
      </c>
      <c r="AF87" s="21">
        <f>IF(Z87="","",Z87-N87)</f>
        <v/>
      </c>
      <c r="AG87" s="21">
        <f>IF(AA87="","",AA87-O87)</f>
        <v/>
      </c>
      <c r="AH87" s="21">
        <f>IF(AB87="","",AB87-P87)</f>
        <v/>
      </c>
      <c r="AI87" s="18">
        <f>IF(COUNTA(W87:AB87)=0,"未入力",IF(COUNTA(W87:AB87)&lt;6,"一部入力",IF(COUNTIF(AC87:AH87,0)=6,"一致","差分あり")))</f>
        <v/>
      </c>
      <c r="AJ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7" s="19" t="inlineStr"/>
      <c r="AL87" s="18" t="inlineStr">
        <is>
          <t>2026-06-29</t>
        </is>
      </c>
    </row>
    <row r="88" ht="22" customHeight="1">
      <c r="A88" s="17" t="inlineStr">
        <is>
          <t>1001503-LB4</t>
        </is>
      </c>
      <c r="B88" s="18" t="n">
        <v>1001503</v>
      </c>
      <c r="C88" s="17" t="inlineStr">
        <is>
          <t>KAsakura03</t>
        </is>
      </c>
      <c r="D88" s="17" t="inlineStr">
        <is>
          <t>KAsakura</t>
        </is>
      </c>
      <c r="E88" s="17" t="inlineStr">
        <is>
          <t>朝倉 可憐</t>
        </is>
      </c>
      <c r="F88" s="19" t="inlineStr">
        <is>
          <t>紅蓮月華のKillrazor</t>
        </is>
      </c>
      <c r="G88" s="18" t="inlineStr">
        <is>
          <t>SS</t>
        </is>
      </c>
      <c r="H88" s="17" t="inlineStr">
        <is>
          <t>Blaster</t>
        </is>
      </c>
      <c r="I88" s="18" t="n">
        <v>4</v>
      </c>
      <c r="J88" s="18" t="n">
        <v>4</v>
      </c>
      <c r="K88" s="18" t="n">
        <v>535</v>
      </c>
      <c r="L88" s="18" t="n">
        <v>433</v>
      </c>
      <c r="M88" s="18" t="n">
        <v>448</v>
      </c>
      <c r="N88" s="18" t="n">
        <v>455</v>
      </c>
      <c r="O88" s="18" t="n">
        <v>470</v>
      </c>
      <c r="P88" s="18" t="n">
        <v>483</v>
      </c>
      <c r="Q88" s="18" t="n">
        <v>54</v>
      </c>
      <c r="R88" s="18" t="n">
        <v>44</v>
      </c>
      <c r="S88" s="18" t="n">
        <v>45</v>
      </c>
      <c r="T88" s="18" t="n">
        <v>46</v>
      </c>
      <c r="U88" s="18" t="n">
        <v>47</v>
      </c>
      <c r="V88" s="18" t="n">
        <v>49</v>
      </c>
      <c r="W88" s="20" t="n"/>
      <c r="X88" s="20" t="n"/>
      <c r="Y88" s="20" t="n"/>
      <c r="Z88" s="20" t="n"/>
      <c r="AA88" s="20" t="n"/>
      <c r="AB88" s="20" t="n"/>
      <c r="AC88" s="21">
        <f>IF(W88="","",W88-K88)</f>
        <v/>
      </c>
      <c r="AD88" s="21">
        <f>IF(X88="","",X88-L88)</f>
        <v/>
      </c>
      <c r="AE88" s="21">
        <f>IF(Y88="","",Y88-M88)</f>
        <v/>
      </c>
      <c r="AF88" s="21">
        <f>IF(Z88="","",Z88-N88)</f>
        <v/>
      </c>
      <c r="AG88" s="21">
        <f>IF(AA88="","",AA88-O88)</f>
        <v/>
      </c>
      <c r="AH88" s="21">
        <f>IF(AB88="","",AB88-P88)</f>
        <v/>
      </c>
      <c r="AI88" s="18">
        <f>IF(COUNTA(W88:AB88)=0,"未入力",IF(COUNTA(W88:AB88)&lt;6,"一部入力",IF(COUNTIF(AC88:AH88,0)=6,"一致","差分あり")))</f>
        <v/>
      </c>
      <c r="AJ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8" s="19" t="inlineStr"/>
      <c r="AL88" s="18" t="inlineStr">
        <is>
          <t>2026-06-29</t>
        </is>
      </c>
    </row>
    <row r="89" ht="22" customHeight="1">
      <c r="A89" s="17" t="inlineStr">
        <is>
          <t>1001504-LB0</t>
        </is>
      </c>
      <c r="B89" s="18" t="n">
        <v>1001504</v>
      </c>
      <c r="C89" s="17" t="inlineStr">
        <is>
          <t>KAsakura04</t>
        </is>
      </c>
      <c r="D89" s="17" t="inlineStr">
        <is>
          <t>KAsakura</t>
        </is>
      </c>
      <c r="E89" s="17" t="inlineStr">
        <is>
          <t>朝倉 可憐</t>
        </is>
      </c>
      <c r="F89" s="19" t="inlineStr">
        <is>
          <t>スカーレット・リベリオン</t>
        </is>
      </c>
      <c r="G89" s="18" t="inlineStr">
        <is>
          <t>SS</t>
        </is>
      </c>
      <c r="H89" s="17" t="inlineStr">
        <is>
          <t>Blaster</t>
        </is>
      </c>
      <c r="I89" s="18" t="n">
        <v>0</v>
      </c>
      <c r="J89" s="18" t="n">
        <v>4</v>
      </c>
      <c r="K89" s="18" t="n">
        <v>464</v>
      </c>
      <c r="L89" s="18" t="n">
        <v>367</v>
      </c>
      <c r="M89" s="18" t="n">
        <v>383</v>
      </c>
      <c r="N89" s="18" t="n">
        <v>391</v>
      </c>
      <c r="O89" s="18" t="n">
        <v>404</v>
      </c>
      <c r="P89" s="18" t="n">
        <v>417</v>
      </c>
      <c r="Q89" s="18" t="n">
        <v>47</v>
      </c>
      <c r="R89" s="18" t="n">
        <v>37</v>
      </c>
      <c r="S89" s="18" t="n">
        <v>39</v>
      </c>
      <c r="T89" s="18" t="n">
        <v>40</v>
      </c>
      <c r="U89" s="18" t="n">
        <v>41</v>
      </c>
      <c r="V89" s="18" t="n">
        <v>42</v>
      </c>
      <c r="W89" s="20" t="n"/>
      <c r="X89" s="20" t="n"/>
      <c r="Y89" s="20" t="n"/>
      <c r="Z89" s="20" t="n"/>
      <c r="AA89" s="20" t="n"/>
      <c r="AB89" s="20" t="n"/>
      <c r="AC89" s="21">
        <f>IF(W89="","",W89-K89)</f>
        <v/>
      </c>
      <c r="AD89" s="21">
        <f>IF(X89="","",X89-L89)</f>
        <v/>
      </c>
      <c r="AE89" s="21">
        <f>IF(Y89="","",Y89-M89)</f>
        <v/>
      </c>
      <c r="AF89" s="21">
        <f>IF(Z89="","",Z89-N89)</f>
        <v/>
      </c>
      <c r="AG89" s="21">
        <f>IF(AA89="","",AA89-O89)</f>
        <v/>
      </c>
      <c r="AH89" s="21">
        <f>IF(AB89="","",AB89-P89)</f>
        <v/>
      </c>
      <c r="AI89" s="18">
        <f>IF(COUNTA(W89:AB89)=0,"未入力",IF(COUNTA(W89:AB89)&lt;6,"一部入力",IF(COUNTIF(AC89:AH89,0)=6,"一致","差分あり")))</f>
        <v/>
      </c>
      <c r="AJ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89" s="19" t="inlineStr"/>
      <c r="AL89" s="18" t="inlineStr">
        <is>
          <t>2026-06-29</t>
        </is>
      </c>
    </row>
    <row r="90" ht="22" customHeight="1">
      <c r="A90" s="17" t="inlineStr">
        <is>
          <t>1001504-LB4</t>
        </is>
      </c>
      <c r="B90" s="18" t="n">
        <v>1001504</v>
      </c>
      <c r="C90" s="17" t="inlineStr">
        <is>
          <t>KAsakura04</t>
        </is>
      </c>
      <c r="D90" s="17" t="inlineStr">
        <is>
          <t>KAsakura</t>
        </is>
      </c>
      <c r="E90" s="17" t="inlineStr">
        <is>
          <t>朝倉 可憐</t>
        </is>
      </c>
      <c r="F90" s="19" t="inlineStr">
        <is>
          <t>スカーレット・リベリオン</t>
        </is>
      </c>
      <c r="G90" s="18" t="inlineStr">
        <is>
          <t>SS</t>
        </is>
      </c>
      <c r="H90" s="17" t="inlineStr">
        <is>
          <t>Blaster</t>
        </is>
      </c>
      <c r="I90" s="18" t="n">
        <v>4</v>
      </c>
      <c r="J90" s="18" t="n">
        <v>4</v>
      </c>
      <c r="K90" s="18" t="n">
        <v>559</v>
      </c>
      <c r="L90" s="18" t="n">
        <v>455</v>
      </c>
      <c r="M90" s="18" t="n">
        <v>469</v>
      </c>
      <c r="N90" s="18" t="n">
        <v>476</v>
      </c>
      <c r="O90" s="18" t="n">
        <v>493</v>
      </c>
      <c r="P90" s="18" t="n">
        <v>506</v>
      </c>
      <c r="Q90" s="18" t="n">
        <v>56</v>
      </c>
      <c r="R90" s="18" t="n">
        <v>46</v>
      </c>
      <c r="S90" s="18" t="n">
        <v>47</v>
      </c>
      <c r="T90" s="18" t="n">
        <v>48</v>
      </c>
      <c r="U90" s="18" t="n">
        <v>50</v>
      </c>
      <c r="V90" s="18" t="n">
        <v>51</v>
      </c>
      <c r="W90" s="20" t="n"/>
      <c r="X90" s="20" t="n"/>
      <c r="Y90" s="20" t="n"/>
      <c r="Z90" s="20" t="n"/>
      <c r="AA90" s="20" t="n"/>
      <c r="AB90" s="20" t="n"/>
      <c r="AC90" s="21">
        <f>IF(W90="","",W90-K90)</f>
        <v/>
      </c>
      <c r="AD90" s="21">
        <f>IF(X90="","",X90-L90)</f>
        <v/>
      </c>
      <c r="AE90" s="21">
        <f>IF(Y90="","",Y90-M90)</f>
        <v/>
      </c>
      <c r="AF90" s="21">
        <f>IF(Z90="","",Z90-N90)</f>
        <v/>
      </c>
      <c r="AG90" s="21">
        <f>IF(AA90="","",AA90-O90)</f>
        <v/>
      </c>
      <c r="AH90" s="21">
        <f>IF(AB90="","",AB90-P90)</f>
        <v/>
      </c>
      <c r="AI90" s="18">
        <f>IF(COUNTA(W90:AB90)=0,"未入力",IF(COUNTA(W90:AB90)&lt;6,"一部入力",IF(COUNTIF(AC90:AH90,0)=6,"一致","差分あり")))</f>
        <v/>
      </c>
      <c r="AJ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0" s="19" t="inlineStr"/>
      <c r="AL90" s="18" t="inlineStr">
        <is>
          <t>2026-06-29</t>
        </is>
      </c>
    </row>
    <row r="91" ht="22" customHeight="1">
      <c r="A91" s="17" t="inlineStr">
        <is>
          <t>1001505-LB0</t>
        </is>
      </c>
      <c r="B91" s="18" t="n">
        <v>1001505</v>
      </c>
      <c r="C91" s="17" t="inlineStr">
        <is>
          <t>KAsakura05</t>
        </is>
      </c>
      <c r="D91" s="17" t="inlineStr">
        <is>
          <t>KAsakura</t>
        </is>
      </c>
      <c r="E91" s="17" t="inlineStr">
        <is>
          <t>朝倉 可憐</t>
        </is>
      </c>
      <c r="F91" s="19" t="inlineStr">
        <is>
          <t>シークレットサービス・デモリッシュ</t>
        </is>
      </c>
      <c r="G91" s="18" t="inlineStr">
        <is>
          <t>SS</t>
        </is>
      </c>
      <c r="H91" s="17" t="inlineStr">
        <is>
          <t>Blaster</t>
        </is>
      </c>
      <c r="I91" s="18" t="n">
        <v>0</v>
      </c>
      <c r="J91" s="18" t="n">
        <v>4</v>
      </c>
      <c r="K91" s="18" t="n">
        <v>464</v>
      </c>
      <c r="L91" s="18" t="n">
        <v>367</v>
      </c>
      <c r="M91" s="18" t="n">
        <v>383</v>
      </c>
      <c r="N91" s="18" t="n">
        <v>391</v>
      </c>
      <c r="O91" s="18" t="n">
        <v>404</v>
      </c>
      <c r="P91" s="18" t="n">
        <v>417</v>
      </c>
      <c r="Q91" s="18" t="n">
        <v>47</v>
      </c>
      <c r="R91" s="18" t="n">
        <v>37</v>
      </c>
      <c r="S91" s="18" t="n">
        <v>39</v>
      </c>
      <c r="T91" s="18" t="n">
        <v>40</v>
      </c>
      <c r="U91" s="18" t="n">
        <v>41</v>
      </c>
      <c r="V91" s="18" t="n">
        <v>42</v>
      </c>
      <c r="W91" s="20" t="n"/>
      <c r="X91" s="20" t="n"/>
      <c r="Y91" s="20" t="n"/>
      <c r="Z91" s="20" t="n"/>
      <c r="AA91" s="20" t="n"/>
      <c r="AB91" s="20" t="n"/>
      <c r="AC91" s="21">
        <f>IF(W91="","",W91-K91)</f>
        <v/>
      </c>
      <c r="AD91" s="21">
        <f>IF(X91="","",X91-L91)</f>
        <v/>
      </c>
      <c r="AE91" s="21">
        <f>IF(Y91="","",Y91-M91)</f>
        <v/>
      </c>
      <c r="AF91" s="21">
        <f>IF(Z91="","",Z91-N91)</f>
        <v/>
      </c>
      <c r="AG91" s="21">
        <f>IF(AA91="","",AA91-O91)</f>
        <v/>
      </c>
      <c r="AH91" s="21">
        <f>IF(AB91="","",AB91-P91)</f>
        <v/>
      </c>
      <c r="AI91" s="18">
        <f>IF(COUNTA(W91:AB91)=0,"未入力",IF(COUNTA(W91:AB91)&lt;6,"一部入力",IF(COUNTIF(AC91:AH91,0)=6,"一致","差分あり")))</f>
        <v/>
      </c>
      <c r="AJ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1" s="19" t="inlineStr"/>
      <c r="AL91" s="18" t="inlineStr">
        <is>
          <t>2026-06-29</t>
        </is>
      </c>
    </row>
    <row r="92" ht="22" customHeight="1">
      <c r="A92" s="17" t="inlineStr">
        <is>
          <t>1001505-LB4</t>
        </is>
      </c>
      <c r="B92" s="18" t="n">
        <v>1001505</v>
      </c>
      <c r="C92" s="17" t="inlineStr">
        <is>
          <t>KAsakura05</t>
        </is>
      </c>
      <c r="D92" s="17" t="inlineStr">
        <is>
          <t>KAsakura</t>
        </is>
      </c>
      <c r="E92" s="17" t="inlineStr">
        <is>
          <t>朝倉 可憐</t>
        </is>
      </c>
      <c r="F92" s="19" t="inlineStr">
        <is>
          <t>シークレットサービス・デモリッシュ</t>
        </is>
      </c>
      <c r="G92" s="18" t="inlineStr">
        <is>
          <t>SS</t>
        </is>
      </c>
      <c r="H92" s="17" t="inlineStr">
        <is>
          <t>Blaster</t>
        </is>
      </c>
      <c r="I92" s="18" t="n">
        <v>4</v>
      </c>
      <c r="J92" s="18" t="n">
        <v>4</v>
      </c>
      <c r="K92" s="18" t="n">
        <v>559</v>
      </c>
      <c r="L92" s="18" t="n">
        <v>455</v>
      </c>
      <c r="M92" s="18" t="n">
        <v>469</v>
      </c>
      <c r="N92" s="18" t="n">
        <v>476</v>
      </c>
      <c r="O92" s="18" t="n">
        <v>493</v>
      </c>
      <c r="P92" s="18" t="n">
        <v>506</v>
      </c>
      <c r="Q92" s="18" t="n">
        <v>56</v>
      </c>
      <c r="R92" s="18" t="n">
        <v>46</v>
      </c>
      <c r="S92" s="18" t="n">
        <v>47</v>
      </c>
      <c r="T92" s="18" t="n">
        <v>48</v>
      </c>
      <c r="U92" s="18" t="n">
        <v>50</v>
      </c>
      <c r="V92" s="18" t="n">
        <v>51</v>
      </c>
      <c r="W92" s="20" t="n"/>
      <c r="X92" s="20" t="n"/>
      <c r="Y92" s="20" t="n"/>
      <c r="Z92" s="20" t="n"/>
      <c r="AA92" s="20" t="n"/>
      <c r="AB92" s="20" t="n"/>
      <c r="AC92" s="21">
        <f>IF(W92="","",W92-K92)</f>
        <v/>
      </c>
      <c r="AD92" s="21">
        <f>IF(X92="","",X92-L92)</f>
        <v/>
      </c>
      <c r="AE92" s="21">
        <f>IF(Y92="","",Y92-M92)</f>
        <v/>
      </c>
      <c r="AF92" s="21">
        <f>IF(Z92="","",Z92-N92)</f>
        <v/>
      </c>
      <c r="AG92" s="21">
        <f>IF(AA92="","",AA92-O92)</f>
        <v/>
      </c>
      <c r="AH92" s="21">
        <f>IF(AB92="","",AB92-P92)</f>
        <v/>
      </c>
      <c r="AI92" s="18">
        <f>IF(COUNTA(W92:AB92)=0,"未入力",IF(COUNTA(W92:AB92)&lt;6,"一部入力",IF(COUNTIF(AC92:AH92,0)=6,"一致","差分あり")))</f>
        <v/>
      </c>
      <c r="AJ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2" s="19" t="inlineStr"/>
      <c r="AL92" s="18" t="inlineStr">
        <is>
          <t>2026-06-29</t>
        </is>
      </c>
    </row>
    <row r="93" ht="22" customHeight="1">
      <c r="A93" s="17" t="inlineStr">
        <is>
          <t>1001506-LB0</t>
        </is>
      </c>
      <c r="B93" s="18" t="n">
        <v>1001506</v>
      </c>
      <c r="C93" s="17" t="inlineStr">
        <is>
          <t>KAsakura06</t>
        </is>
      </c>
      <c r="D93" s="17" t="inlineStr">
        <is>
          <t>KAsakura</t>
        </is>
      </c>
      <c r="E93" s="17" t="inlineStr">
        <is>
          <t>朝倉 可憐</t>
        </is>
      </c>
      <c r="F93" s="19" t="inlineStr">
        <is>
          <t>狂悖暴戻のランダムウォーク</t>
        </is>
      </c>
      <c r="G93" s="18" t="inlineStr">
        <is>
          <t>S</t>
        </is>
      </c>
      <c r="H93" s="17" t="inlineStr">
        <is>
          <t>Blaster</t>
        </is>
      </c>
      <c r="I93" s="18" t="n">
        <v>0</v>
      </c>
      <c r="J93" s="18" t="n">
        <v>10</v>
      </c>
      <c r="K93" s="18" t="n">
        <v>340</v>
      </c>
      <c r="L93" s="18" t="n">
        <v>320</v>
      </c>
      <c r="M93" s="18" t="n">
        <v>344</v>
      </c>
      <c r="N93" s="18" t="n">
        <v>342</v>
      </c>
      <c r="O93" s="18" t="n">
        <v>310</v>
      </c>
      <c r="P93" s="18" t="n">
        <v>310</v>
      </c>
      <c r="Q93" s="18" t="n">
        <v>34</v>
      </c>
      <c r="R93" s="18" t="n">
        <v>32</v>
      </c>
      <c r="S93" s="18" t="n">
        <v>35</v>
      </c>
      <c r="T93" s="18" t="n">
        <v>35</v>
      </c>
      <c r="U93" s="18" t="n">
        <v>31</v>
      </c>
      <c r="V93" s="18" t="n">
        <v>31</v>
      </c>
      <c r="W93" s="20" t="n"/>
      <c r="X93" s="20" t="n"/>
      <c r="Y93" s="20" t="n"/>
      <c r="Z93" s="20" t="n"/>
      <c r="AA93" s="20" t="n"/>
      <c r="AB93" s="20" t="n"/>
      <c r="AC93" s="21">
        <f>IF(W93="","",W93-K93)</f>
        <v/>
      </c>
      <c r="AD93" s="21">
        <f>IF(X93="","",X93-L93)</f>
        <v/>
      </c>
      <c r="AE93" s="21">
        <f>IF(Y93="","",Y93-M93)</f>
        <v/>
      </c>
      <c r="AF93" s="21">
        <f>IF(Z93="","",Z93-N93)</f>
        <v/>
      </c>
      <c r="AG93" s="21">
        <f>IF(AA93="","",AA93-O93)</f>
        <v/>
      </c>
      <c r="AH93" s="21">
        <f>IF(AB93="","",AB93-P93)</f>
        <v/>
      </c>
      <c r="AI93" s="18">
        <f>IF(COUNTA(W93:AB93)=0,"未入力",IF(COUNTA(W93:AB93)&lt;6,"一部入力",IF(COUNTIF(AC93:AH93,0)=6,"一致","差分あり")))</f>
        <v/>
      </c>
      <c r="AJ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3" s="19" t="inlineStr"/>
      <c r="AL93" s="18" t="inlineStr">
        <is>
          <t>2026-06-29</t>
        </is>
      </c>
    </row>
    <row r="94" ht="22" customHeight="1">
      <c r="A94" s="17" t="inlineStr">
        <is>
          <t>1001506-LB10</t>
        </is>
      </c>
      <c r="B94" s="18" t="n">
        <v>1001506</v>
      </c>
      <c r="C94" s="17" t="inlineStr">
        <is>
          <t>KAsakura06</t>
        </is>
      </c>
      <c r="D94" s="17" t="inlineStr">
        <is>
          <t>KAsakura</t>
        </is>
      </c>
      <c r="E94" s="17" t="inlineStr">
        <is>
          <t>朝倉 可憐</t>
        </is>
      </c>
      <c r="F94" s="19" t="inlineStr">
        <is>
          <t>狂悖暴戻のランダムウォーク</t>
        </is>
      </c>
      <c r="G94" s="18" t="inlineStr">
        <is>
          <t>S</t>
        </is>
      </c>
      <c r="H94" s="17" t="inlineStr">
        <is>
          <t>Blaster</t>
        </is>
      </c>
      <c r="I94" s="18" t="n">
        <v>10</v>
      </c>
      <c r="J94" s="18" t="n">
        <v>10</v>
      </c>
      <c r="K94" s="18" t="n">
        <v>411</v>
      </c>
      <c r="L94" s="18" t="n">
        <v>386</v>
      </c>
      <c r="M94" s="18" t="n">
        <v>412</v>
      </c>
      <c r="N94" s="18" t="n">
        <v>407</v>
      </c>
      <c r="O94" s="18" t="n">
        <v>377</v>
      </c>
      <c r="P94" s="18" t="n">
        <v>377</v>
      </c>
      <c r="Q94" s="18" t="n">
        <v>42</v>
      </c>
      <c r="R94" s="18" t="n">
        <v>39</v>
      </c>
      <c r="S94" s="18" t="n">
        <v>42</v>
      </c>
      <c r="T94" s="18" t="n">
        <v>41</v>
      </c>
      <c r="U94" s="18" t="n">
        <v>38</v>
      </c>
      <c r="V94" s="18" t="n">
        <v>38</v>
      </c>
      <c r="W94" s="20" t="n"/>
      <c r="X94" s="20" t="n"/>
      <c r="Y94" s="20" t="n"/>
      <c r="Z94" s="20" t="n"/>
      <c r="AA94" s="20" t="n"/>
      <c r="AB94" s="20" t="n"/>
      <c r="AC94" s="21">
        <f>IF(W94="","",W94-K94)</f>
        <v/>
      </c>
      <c r="AD94" s="21">
        <f>IF(X94="","",X94-L94)</f>
        <v/>
      </c>
      <c r="AE94" s="21">
        <f>IF(Y94="","",Y94-M94)</f>
        <v/>
      </c>
      <c r="AF94" s="21">
        <f>IF(Z94="","",Z94-N94)</f>
        <v/>
      </c>
      <c r="AG94" s="21">
        <f>IF(AA94="","",AA94-O94)</f>
        <v/>
      </c>
      <c r="AH94" s="21">
        <f>IF(AB94="","",AB94-P94)</f>
        <v/>
      </c>
      <c r="AI94" s="18">
        <f>IF(COUNTA(W94:AB94)=0,"未入力",IF(COUNTA(W94:AB94)&lt;6,"一部入力",IF(COUNTIF(AC94:AH94,0)=6,"一致","差分あり")))</f>
        <v/>
      </c>
      <c r="AJ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4" s="19" t="inlineStr"/>
      <c r="AL94" s="18" t="inlineStr">
        <is>
          <t>2026-06-29</t>
        </is>
      </c>
    </row>
    <row r="95" ht="22" customHeight="1">
      <c r="A95" s="17" t="inlineStr">
        <is>
          <t>1001507-LB0</t>
        </is>
      </c>
      <c r="B95" s="18" t="n">
        <v>1001507</v>
      </c>
      <c r="C95" s="17" t="inlineStr">
        <is>
          <t>KAsakura07</t>
        </is>
      </c>
      <c r="D95" s="17" t="inlineStr">
        <is>
          <t>KAsakura</t>
        </is>
      </c>
      <c r="E95" s="17" t="inlineStr">
        <is>
          <t>朝倉 可憐</t>
        </is>
      </c>
      <c r="F95" s="19" t="inlineStr">
        <is>
          <t>盛夏のシャーク・ザ・リッパー</t>
        </is>
      </c>
      <c r="G95" s="18" t="inlineStr">
        <is>
          <t>SS</t>
        </is>
      </c>
      <c r="H95" s="17" t="inlineStr">
        <is>
          <t>Blaster</t>
        </is>
      </c>
      <c r="I95" s="18" t="n">
        <v>0</v>
      </c>
      <c r="J95" s="18" t="n">
        <v>4</v>
      </c>
      <c r="K95" s="18" t="n">
        <v>464</v>
      </c>
      <c r="L95" s="18" t="n">
        <v>367</v>
      </c>
      <c r="M95" s="18" t="n">
        <v>383</v>
      </c>
      <c r="N95" s="18" t="n">
        <v>391</v>
      </c>
      <c r="O95" s="18" t="n">
        <v>404</v>
      </c>
      <c r="P95" s="18" t="n">
        <v>417</v>
      </c>
      <c r="Q95" s="18" t="n">
        <v>47</v>
      </c>
      <c r="R95" s="18" t="n">
        <v>37</v>
      </c>
      <c r="S95" s="18" t="n">
        <v>39</v>
      </c>
      <c r="T95" s="18" t="n">
        <v>40</v>
      </c>
      <c r="U95" s="18" t="n">
        <v>41</v>
      </c>
      <c r="V95" s="18" t="n">
        <v>42</v>
      </c>
      <c r="W95" s="20" t="n"/>
      <c r="X95" s="20" t="n"/>
      <c r="Y95" s="20" t="n"/>
      <c r="Z95" s="20" t="n"/>
      <c r="AA95" s="20" t="n"/>
      <c r="AB95" s="20" t="n"/>
      <c r="AC95" s="21">
        <f>IF(W95="","",W95-K95)</f>
        <v/>
      </c>
      <c r="AD95" s="21">
        <f>IF(X95="","",X95-L95)</f>
        <v/>
      </c>
      <c r="AE95" s="21">
        <f>IF(Y95="","",Y95-M95)</f>
        <v/>
      </c>
      <c r="AF95" s="21">
        <f>IF(Z95="","",Z95-N95)</f>
        <v/>
      </c>
      <c r="AG95" s="21">
        <f>IF(AA95="","",AA95-O95)</f>
        <v/>
      </c>
      <c r="AH95" s="21">
        <f>IF(AB95="","",AB95-P95)</f>
        <v/>
      </c>
      <c r="AI95" s="18">
        <f>IF(COUNTA(W95:AB95)=0,"未入力",IF(COUNTA(W95:AB95)&lt;6,"一部入力",IF(COUNTIF(AC95:AH95,0)=6,"一致","差分あり")))</f>
        <v/>
      </c>
      <c r="AJ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5" s="19" t="inlineStr"/>
      <c r="AL95" s="18" t="inlineStr">
        <is>
          <t>2026-06-29</t>
        </is>
      </c>
    </row>
    <row r="96" ht="22" customHeight="1">
      <c r="A96" s="17" t="inlineStr">
        <is>
          <t>1001507-LB4</t>
        </is>
      </c>
      <c r="B96" s="18" t="n">
        <v>1001507</v>
      </c>
      <c r="C96" s="17" t="inlineStr">
        <is>
          <t>KAsakura07</t>
        </is>
      </c>
      <c r="D96" s="17" t="inlineStr">
        <is>
          <t>KAsakura</t>
        </is>
      </c>
      <c r="E96" s="17" t="inlineStr">
        <is>
          <t>朝倉 可憐</t>
        </is>
      </c>
      <c r="F96" s="19" t="inlineStr">
        <is>
          <t>盛夏のシャーク・ザ・リッパー</t>
        </is>
      </c>
      <c r="G96" s="18" t="inlineStr">
        <is>
          <t>SS</t>
        </is>
      </c>
      <c r="H96" s="17" t="inlineStr">
        <is>
          <t>Blaster</t>
        </is>
      </c>
      <c r="I96" s="18" t="n">
        <v>4</v>
      </c>
      <c r="J96" s="18" t="n">
        <v>4</v>
      </c>
      <c r="K96" s="18" t="n">
        <v>559</v>
      </c>
      <c r="L96" s="18" t="n">
        <v>455</v>
      </c>
      <c r="M96" s="18" t="n">
        <v>469</v>
      </c>
      <c r="N96" s="18" t="n">
        <v>476</v>
      </c>
      <c r="O96" s="18" t="n">
        <v>493</v>
      </c>
      <c r="P96" s="18" t="n">
        <v>506</v>
      </c>
      <c r="Q96" s="18" t="n">
        <v>56</v>
      </c>
      <c r="R96" s="18" t="n">
        <v>46</v>
      </c>
      <c r="S96" s="18" t="n">
        <v>47</v>
      </c>
      <c r="T96" s="18" t="n">
        <v>48</v>
      </c>
      <c r="U96" s="18" t="n">
        <v>50</v>
      </c>
      <c r="V96" s="18" t="n">
        <v>51</v>
      </c>
      <c r="W96" s="20" t="n"/>
      <c r="X96" s="20" t="n"/>
      <c r="Y96" s="20" t="n"/>
      <c r="Z96" s="20" t="n"/>
      <c r="AA96" s="20" t="n"/>
      <c r="AB96" s="20" t="n"/>
      <c r="AC96" s="21">
        <f>IF(W96="","",W96-K96)</f>
        <v/>
      </c>
      <c r="AD96" s="21">
        <f>IF(X96="","",X96-L96)</f>
        <v/>
      </c>
      <c r="AE96" s="21">
        <f>IF(Y96="","",Y96-M96)</f>
        <v/>
      </c>
      <c r="AF96" s="21">
        <f>IF(Z96="","",Z96-N96)</f>
        <v/>
      </c>
      <c r="AG96" s="21">
        <f>IF(AA96="","",AA96-O96)</f>
        <v/>
      </c>
      <c r="AH96" s="21">
        <f>IF(AB96="","",AB96-P96)</f>
        <v/>
      </c>
      <c r="AI96" s="18">
        <f>IF(COUNTA(W96:AB96)=0,"未入力",IF(COUNTA(W96:AB96)&lt;6,"一部入力",IF(COUNTIF(AC96:AH96,0)=6,"一致","差分あり")))</f>
        <v/>
      </c>
      <c r="AJ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6" s="19" t="inlineStr"/>
      <c r="AL96" s="18" t="inlineStr">
        <is>
          <t>2026-06-29</t>
        </is>
      </c>
    </row>
    <row r="97" ht="22" customHeight="1">
      <c r="A97" s="17" t="inlineStr">
        <is>
          <t>1001508-LB0</t>
        </is>
      </c>
      <c r="B97" s="18" t="n">
        <v>1001508</v>
      </c>
      <c r="C97" s="17" t="inlineStr">
        <is>
          <t>KAsakura08</t>
        </is>
      </c>
      <c r="D97" s="17" t="inlineStr">
        <is>
          <t>KAsakura</t>
        </is>
      </c>
      <c r="E97" s="17" t="inlineStr">
        <is>
          <t>朝倉 可憐</t>
        </is>
      </c>
      <c r="F97" s="19" t="inlineStr">
        <is>
          <t>Twinkle Eclosion</t>
        </is>
      </c>
      <c r="G97" s="18" t="inlineStr">
        <is>
          <t>SS</t>
        </is>
      </c>
      <c r="H97" s="17" t="inlineStr">
        <is>
          <t>Blaster</t>
        </is>
      </c>
      <c r="I97" s="18" t="n">
        <v>0</v>
      </c>
      <c r="J97" s="18" t="n">
        <v>4</v>
      </c>
      <c r="K97" s="18" t="n">
        <v>464</v>
      </c>
      <c r="L97" s="18" t="n">
        <v>367</v>
      </c>
      <c r="M97" s="18" t="n">
        <v>383</v>
      </c>
      <c r="N97" s="18" t="n">
        <v>391</v>
      </c>
      <c r="O97" s="18" t="n">
        <v>404</v>
      </c>
      <c r="P97" s="18" t="n">
        <v>417</v>
      </c>
      <c r="Q97" s="18" t="n">
        <v>47</v>
      </c>
      <c r="R97" s="18" t="n">
        <v>37</v>
      </c>
      <c r="S97" s="18" t="n">
        <v>39</v>
      </c>
      <c r="T97" s="18" t="n">
        <v>40</v>
      </c>
      <c r="U97" s="18" t="n">
        <v>41</v>
      </c>
      <c r="V97" s="18" t="n">
        <v>42</v>
      </c>
      <c r="W97" s="20" t="n"/>
      <c r="X97" s="20" t="n"/>
      <c r="Y97" s="20" t="n"/>
      <c r="Z97" s="20" t="n"/>
      <c r="AA97" s="20" t="n"/>
      <c r="AB97" s="20" t="n"/>
      <c r="AC97" s="21">
        <f>IF(W97="","",W97-K97)</f>
        <v/>
      </c>
      <c r="AD97" s="21">
        <f>IF(X97="","",X97-L97)</f>
        <v/>
      </c>
      <c r="AE97" s="21">
        <f>IF(Y97="","",Y97-M97)</f>
        <v/>
      </c>
      <c r="AF97" s="21">
        <f>IF(Z97="","",Z97-N97)</f>
        <v/>
      </c>
      <c r="AG97" s="21">
        <f>IF(AA97="","",AA97-O97)</f>
        <v/>
      </c>
      <c r="AH97" s="21">
        <f>IF(AB97="","",AB97-P97)</f>
        <v/>
      </c>
      <c r="AI97" s="18">
        <f>IF(COUNTA(W97:AB97)=0,"未入力",IF(COUNTA(W97:AB97)&lt;6,"一部入力",IF(COUNTIF(AC97:AH97,0)=6,"一致","差分あり")))</f>
        <v/>
      </c>
      <c r="AJ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7" s="19" t="inlineStr"/>
      <c r="AL97" s="18" t="inlineStr">
        <is>
          <t>2026-06-29</t>
        </is>
      </c>
    </row>
    <row r="98" ht="22" customHeight="1">
      <c r="A98" s="17" t="inlineStr">
        <is>
          <t>1001508-LB4</t>
        </is>
      </c>
      <c r="B98" s="18" t="n">
        <v>1001508</v>
      </c>
      <c r="C98" s="17" t="inlineStr">
        <is>
          <t>KAsakura08</t>
        </is>
      </c>
      <c r="D98" s="17" t="inlineStr">
        <is>
          <t>KAsakura</t>
        </is>
      </c>
      <c r="E98" s="17" t="inlineStr">
        <is>
          <t>朝倉 可憐</t>
        </is>
      </c>
      <c r="F98" s="19" t="inlineStr">
        <is>
          <t>Twinkle Eclosion</t>
        </is>
      </c>
      <c r="G98" s="18" t="inlineStr">
        <is>
          <t>SS</t>
        </is>
      </c>
      <c r="H98" s="17" t="inlineStr">
        <is>
          <t>Blaster</t>
        </is>
      </c>
      <c r="I98" s="18" t="n">
        <v>4</v>
      </c>
      <c r="J98" s="18" t="n">
        <v>4</v>
      </c>
      <c r="K98" s="18" t="n">
        <v>559</v>
      </c>
      <c r="L98" s="18" t="n">
        <v>455</v>
      </c>
      <c r="M98" s="18" t="n">
        <v>469</v>
      </c>
      <c r="N98" s="18" t="n">
        <v>476</v>
      </c>
      <c r="O98" s="18" t="n">
        <v>493</v>
      </c>
      <c r="P98" s="18" t="n">
        <v>506</v>
      </c>
      <c r="Q98" s="18" t="n">
        <v>56</v>
      </c>
      <c r="R98" s="18" t="n">
        <v>46</v>
      </c>
      <c r="S98" s="18" t="n">
        <v>47</v>
      </c>
      <c r="T98" s="18" t="n">
        <v>48</v>
      </c>
      <c r="U98" s="18" t="n">
        <v>50</v>
      </c>
      <c r="V98" s="18" t="n">
        <v>51</v>
      </c>
      <c r="W98" s="20" t="n"/>
      <c r="X98" s="20" t="n"/>
      <c r="Y98" s="20" t="n"/>
      <c r="Z98" s="20" t="n"/>
      <c r="AA98" s="20" t="n"/>
      <c r="AB98" s="20" t="n"/>
      <c r="AC98" s="21">
        <f>IF(W98="","",W98-K98)</f>
        <v/>
      </c>
      <c r="AD98" s="21">
        <f>IF(X98="","",X98-L98)</f>
        <v/>
      </c>
      <c r="AE98" s="21">
        <f>IF(Y98="","",Y98-M98)</f>
        <v/>
      </c>
      <c r="AF98" s="21">
        <f>IF(Z98="","",Z98-N98)</f>
        <v/>
      </c>
      <c r="AG98" s="21">
        <f>IF(AA98="","",AA98-O98)</f>
        <v/>
      </c>
      <c r="AH98" s="21">
        <f>IF(AB98="","",AB98-P98)</f>
        <v/>
      </c>
      <c r="AI98" s="18">
        <f>IF(COUNTA(W98:AB98)=0,"未入力",IF(COUNTA(W98:AB98)&lt;6,"一部入力",IF(COUNTIF(AC98:AH98,0)=6,"一致","差分あり")))</f>
        <v/>
      </c>
      <c r="AJ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8" s="19" t="inlineStr"/>
      <c r="AL98" s="18" t="inlineStr">
        <is>
          <t>2026-06-29</t>
        </is>
      </c>
    </row>
    <row r="99" ht="22" customHeight="1">
      <c r="A99" s="17" t="inlineStr">
        <is>
          <t>1001509-LB0</t>
        </is>
      </c>
      <c r="B99" s="18" t="n">
        <v>1001509</v>
      </c>
      <c r="C99" s="17" t="inlineStr">
        <is>
          <t>KAsakura09</t>
        </is>
      </c>
      <c r="D99" s="17" t="inlineStr">
        <is>
          <t>KAsakura</t>
        </is>
      </c>
      <c r="E99" s="17" t="inlineStr">
        <is>
          <t>朝倉 可憐</t>
        </is>
      </c>
      <c r="F99" s="19" t="inlineStr">
        <is>
          <t>CODE:Virtual Killer</t>
        </is>
      </c>
      <c r="G99" s="18" t="inlineStr">
        <is>
          <t>SSR</t>
        </is>
      </c>
      <c r="H99" s="17" t="inlineStr">
        <is>
          <t>Blaster</t>
        </is>
      </c>
      <c r="I99" s="18" t="n">
        <v>0</v>
      </c>
      <c r="J99" s="18" t="n">
        <v>4</v>
      </c>
      <c r="K99" s="18" t="n">
        <v>464</v>
      </c>
      <c r="L99" s="18" t="n">
        <v>415</v>
      </c>
      <c r="M99" s="18" t="n">
        <v>372</v>
      </c>
      <c r="N99" s="18" t="n">
        <v>378</v>
      </c>
      <c r="O99" s="18" t="n">
        <v>404</v>
      </c>
      <c r="P99" s="18" t="n">
        <v>393</v>
      </c>
      <c r="Q99" s="18" t="n">
        <v>47</v>
      </c>
      <c r="R99" s="18" t="n">
        <v>42</v>
      </c>
      <c r="S99" s="18" t="n">
        <v>38</v>
      </c>
      <c r="T99" s="18" t="n">
        <v>38</v>
      </c>
      <c r="U99" s="18" t="n">
        <v>41</v>
      </c>
      <c r="V99" s="18" t="n">
        <v>40</v>
      </c>
      <c r="W99" s="20" t="n"/>
      <c r="X99" s="20" t="n"/>
      <c r="Y99" s="20" t="n"/>
      <c r="Z99" s="20" t="n"/>
      <c r="AA99" s="20" t="n"/>
      <c r="AB99" s="20" t="n"/>
      <c r="AC99" s="21">
        <f>IF(W99="","",W99-K99)</f>
        <v/>
      </c>
      <c r="AD99" s="21">
        <f>IF(X99="","",X99-L99)</f>
        <v/>
      </c>
      <c r="AE99" s="21">
        <f>IF(Y99="","",Y99-M99)</f>
        <v/>
      </c>
      <c r="AF99" s="21">
        <f>IF(Z99="","",Z99-N99)</f>
        <v/>
      </c>
      <c r="AG99" s="21">
        <f>IF(AA99="","",AA99-O99)</f>
        <v/>
      </c>
      <c r="AH99" s="21">
        <f>IF(AB99="","",AB99-P99)</f>
        <v/>
      </c>
      <c r="AI99" s="18">
        <f>IF(COUNTA(W99:AB99)=0,"未入力",IF(COUNTA(W99:AB99)&lt;6,"一部入力",IF(COUNTIF(AC99:AH99,0)=6,"一致","差分あり")))</f>
        <v/>
      </c>
      <c r="AJ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99" s="19" t="inlineStr"/>
      <c r="AL99" s="18" t="inlineStr">
        <is>
          <t>2026-06-29</t>
        </is>
      </c>
    </row>
    <row r="100" ht="22" customHeight="1">
      <c r="A100" s="17" t="inlineStr">
        <is>
          <t>1001509-LB4</t>
        </is>
      </c>
      <c r="B100" s="18" t="n">
        <v>1001509</v>
      </c>
      <c r="C100" s="17" t="inlineStr">
        <is>
          <t>KAsakura09</t>
        </is>
      </c>
      <c r="D100" s="17" t="inlineStr">
        <is>
          <t>KAsakura</t>
        </is>
      </c>
      <c r="E100" s="17" t="inlineStr">
        <is>
          <t>朝倉 可憐</t>
        </is>
      </c>
      <c r="F100" s="19" t="inlineStr">
        <is>
          <t>CODE:Virtual Killer</t>
        </is>
      </c>
      <c r="G100" s="18" t="inlineStr">
        <is>
          <t>SSR</t>
        </is>
      </c>
      <c r="H100" s="17" t="inlineStr">
        <is>
          <t>Blaster</t>
        </is>
      </c>
      <c r="I100" s="18" t="n">
        <v>4</v>
      </c>
      <c r="J100" s="18" t="n">
        <v>4</v>
      </c>
      <c r="K100" s="18" t="n">
        <v>559</v>
      </c>
      <c r="L100" s="18" t="n">
        <v>504</v>
      </c>
      <c r="M100" s="18" t="n">
        <v>459</v>
      </c>
      <c r="N100" s="18" t="n">
        <v>463</v>
      </c>
      <c r="O100" s="18" t="n">
        <v>493</v>
      </c>
      <c r="P100" s="18" t="n">
        <v>481</v>
      </c>
      <c r="Q100" s="18" t="n">
        <v>56</v>
      </c>
      <c r="R100" s="18" t="n">
        <v>51</v>
      </c>
      <c r="S100" s="18" t="n">
        <v>46</v>
      </c>
      <c r="T100" s="18" t="n">
        <v>47</v>
      </c>
      <c r="U100" s="18" t="n">
        <v>50</v>
      </c>
      <c r="V100" s="18" t="n">
        <v>49</v>
      </c>
      <c r="W100" s="20" t="n"/>
      <c r="X100" s="20" t="n"/>
      <c r="Y100" s="20" t="n"/>
      <c r="Z100" s="20" t="n"/>
      <c r="AA100" s="20" t="n"/>
      <c r="AB100" s="20" t="n"/>
      <c r="AC100" s="21">
        <f>IF(W100="","",W100-K100)</f>
        <v/>
      </c>
      <c r="AD100" s="21">
        <f>IF(X100="","",X100-L100)</f>
        <v/>
      </c>
      <c r="AE100" s="21">
        <f>IF(Y100="","",Y100-M100)</f>
        <v/>
      </c>
      <c r="AF100" s="21">
        <f>IF(Z100="","",Z100-N100)</f>
        <v/>
      </c>
      <c r="AG100" s="21">
        <f>IF(AA100="","",AA100-O100)</f>
        <v/>
      </c>
      <c r="AH100" s="21">
        <f>IF(AB100="","",AB100-P100)</f>
        <v/>
      </c>
      <c r="AI100" s="18">
        <f>IF(COUNTA(W100:AB100)=0,"未入力",IF(COUNTA(W100:AB100)&lt;6,"一部入力",IF(COUNTIF(AC100:AH100,0)=6,"一致","差分あり")))</f>
        <v/>
      </c>
      <c r="AJ1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0" s="19" t="inlineStr"/>
      <c r="AL100" s="18" t="inlineStr">
        <is>
          <t>2026-06-29</t>
        </is>
      </c>
    </row>
    <row r="101" ht="22" customHeight="1">
      <c r="A101" s="17" t="inlineStr">
        <is>
          <t>1001701-LB0</t>
        </is>
      </c>
      <c r="B101" s="18" t="n">
        <v>1001701</v>
      </c>
      <c r="C101" s="17" t="inlineStr">
        <is>
          <t>TKunimi01</t>
        </is>
      </c>
      <c r="D101" s="17" t="inlineStr">
        <is>
          <t>TKunimi</t>
        </is>
      </c>
      <c r="E101" s="17" t="inlineStr">
        <is>
          <t>國見 タマ</t>
        </is>
      </c>
      <c r="F101" s="19" t="inlineStr">
        <is>
          <t>Truth or Lies</t>
        </is>
      </c>
      <c r="G101" s="18" t="inlineStr">
        <is>
          <t>A</t>
        </is>
      </c>
      <c r="H101" s="17" t="inlineStr">
        <is>
          <t>Healer</t>
        </is>
      </c>
      <c r="I101" s="18" t="n">
        <v>0</v>
      </c>
      <c r="J101" s="18" t="n">
        <v>20</v>
      </c>
      <c r="K101" s="18" t="n">
        <v>289</v>
      </c>
      <c r="L101" s="18" t="n">
        <v>243</v>
      </c>
      <c r="M101" s="18" t="n">
        <v>267</v>
      </c>
      <c r="N101" s="18" t="n">
        <v>293</v>
      </c>
      <c r="O101" s="18" t="n">
        <v>275</v>
      </c>
      <c r="P101" s="18" t="n">
        <v>286</v>
      </c>
      <c r="Q101" s="18" t="n">
        <v>29</v>
      </c>
      <c r="R101" s="18" t="n">
        <v>25</v>
      </c>
      <c r="S101" s="18" t="n">
        <v>27</v>
      </c>
      <c r="T101" s="18" t="n">
        <v>30</v>
      </c>
      <c r="U101" s="18" t="n">
        <v>28</v>
      </c>
      <c r="V101" s="18" t="n">
        <v>29</v>
      </c>
      <c r="W101" s="20" t="n"/>
      <c r="X101" s="20" t="n"/>
      <c r="Y101" s="20" t="n"/>
      <c r="Z101" s="20" t="n"/>
      <c r="AA101" s="20" t="n"/>
      <c r="AB101" s="20" t="n"/>
      <c r="AC101" s="21">
        <f>IF(W101="","",W101-K101)</f>
        <v/>
      </c>
      <c r="AD101" s="21">
        <f>IF(X101="","",X101-L101)</f>
        <v/>
      </c>
      <c r="AE101" s="21">
        <f>IF(Y101="","",Y101-M101)</f>
        <v/>
      </c>
      <c r="AF101" s="21">
        <f>IF(Z101="","",Z101-N101)</f>
        <v/>
      </c>
      <c r="AG101" s="21">
        <f>IF(AA101="","",AA101-O101)</f>
        <v/>
      </c>
      <c r="AH101" s="21">
        <f>IF(AB101="","",AB101-P101)</f>
        <v/>
      </c>
      <c r="AI101" s="18">
        <f>IF(COUNTA(W101:AB101)=0,"未入力",IF(COUNTA(W101:AB101)&lt;6,"一部入力",IF(COUNTIF(AC101:AH101,0)=6,"一致","差分あり")))</f>
        <v/>
      </c>
      <c r="AJ1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1" s="19" t="inlineStr"/>
      <c r="AL101" s="18" t="inlineStr">
        <is>
          <t>2026-06-29</t>
        </is>
      </c>
    </row>
    <row r="102" ht="22" customHeight="1">
      <c r="A102" s="17" t="inlineStr">
        <is>
          <t>1001701-LB20</t>
        </is>
      </c>
      <c r="B102" s="18" t="n">
        <v>1001701</v>
      </c>
      <c r="C102" s="17" t="inlineStr">
        <is>
          <t>TKunimi01</t>
        </is>
      </c>
      <c r="D102" s="17" t="inlineStr">
        <is>
          <t>TKunimi</t>
        </is>
      </c>
      <c r="E102" s="17" t="inlineStr">
        <is>
          <t>國見 タマ</t>
        </is>
      </c>
      <c r="F102" s="19" t="inlineStr">
        <is>
          <t>Truth or Lies</t>
        </is>
      </c>
      <c r="G102" s="18" t="inlineStr">
        <is>
          <t>A</t>
        </is>
      </c>
      <c r="H102" s="17" t="inlineStr">
        <is>
          <t>Healer</t>
        </is>
      </c>
      <c r="I102" s="18" t="n">
        <v>20</v>
      </c>
      <c r="J102" s="18" t="n">
        <v>20</v>
      </c>
      <c r="K102" s="18" t="n">
        <v>334</v>
      </c>
      <c r="L102" s="18" t="n">
        <v>286</v>
      </c>
      <c r="M102" s="18" t="n">
        <v>315</v>
      </c>
      <c r="N102" s="18" t="n">
        <v>339</v>
      </c>
      <c r="O102" s="18" t="n">
        <v>319</v>
      </c>
      <c r="P102" s="18" t="n">
        <v>329</v>
      </c>
      <c r="Q102" s="18" t="n">
        <v>34</v>
      </c>
      <c r="R102" s="18" t="n">
        <v>29</v>
      </c>
      <c r="S102" s="18" t="n">
        <v>32</v>
      </c>
      <c r="T102" s="18" t="n">
        <v>34</v>
      </c>
      <c r="U102" s="18" t="n">
        <v>32</v>
      </c>
      <c r="V102" s="18" t="n">
        <v>33</v>
      </c>
      <c r="W102" s="20" t="n"/>
      <c r="X102" s="20" t="n"/>
      <c r="Y102" s="20" t="n"/>
      <c r="Z102" s="20" t="n"/>
      <c r="AA102" s="20" t="n"/>
      <c r="AB102" s="20" t="n"/>
      <c r="AC102" s="21">
        <f>IF(W102="","",W102-K102)</f>
        <v/>
      </c>
      <c r="AD102" s="21">
        <f>IF(X102="","",X102-L102)</f>
        <v/>
      </c>
      <c r="AE102" s="21">
        <f>IF(Y102="","",Y102-M102)</f>
        <v/>
      </c>
      <c r="AF102" s="21">
        <f>IF(Z102="","",Z102-N102)</f>
        <v/>
      </c>
      <c r="AG102" s="21">
        <f>IF(AA102="","",AA102-O102)</f>
        <v/>
      </c>
      <c r="AH102" s="21">
        <f>IF(AB102="","",AB102-P102)</f>
        <v/>
      </c>
      <c r="AI102" s="18">
        <f>IF(COUNTA(W102:AB102)=0,"未入力",IF(COUNTA(W102:AB102)&lt;6,"一部入力",IF(COUNTIF(AC102:AH102,0)=6,"一致","差分あり")))</f>
        <v/>
      </c>
      <c r="AJ1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2" s="19" t="inlineStr"/>
      <c r="AL102" s="18" t="inlineStr">
        <is>
          <t>2026-06-29</t>
        </is>
      </c>
    </row>
    <row r="103" ht="22" customHeight="1">
      <c r="A103" s="17" t="inlineStr">
        <is>
          <t>1001702-LB0</t>
        </is>
      </c>
      <c r="B103" s="18" t="n">
        <v>1001702</v>
      </c>
      <c r="C103" s="17" t="inlineStr">
        <is>
          <t>TKunimi02</t>
        </is>
      </c>
      <c r="D103" s="17" t="inlineStr">
        <is>
          <t>TKunimi</t>
        </is>
      </c>
      <c r="E103" s="17" t="inlineStr">
        <is>
          <t>國見 タマ</t>
        </is>
      </c>
      <c r="F103" s="19" t="inlineStr">
        <is>
          <t>ときめきアークライト</t>
        </is>
      </c>
      <c r="G103" s="18" t="inlineStr">
        <is>
          <t>S</t>
        </is>
      </c>
      <c r="H103" s="17" t="inlineStr">
        <is>
          <t>Healer</t>
        </is>
      </c>
      <c r="I103" s="18" t="n">
        <v>0</v>
      </c>
      <c r="J103" s="18" t="n">
        <v>10</v>
      </c>
      <c r="K103" s="18" t="n">
        <v>306</v>
      </c>
      <c r="L103" s="18" t="n">
        <v>342</v>
      </c>
      <c r="M103" s="18" t="n">
        <v>343</v>
      </c>
      <c r="N103" s="18" t="n">
        <v>320</v>
      </c>
      <c r="O103" s="18" t="n">
        <v>345</v>
      </c>
      <c r="P103" s="18" t="n">
        <v>313</v>
      </c>
      <c r="Q103" s="18" t="n">
        <v>31</v>
      </c>
      <c r="R103" s="18" t="n">
        <v>35</v>
      </c>
      <c r="S103" s="18" t="n">
        <v>35</v>
      </c>
      <c r="T103" s="18" t="n">
        <v>32</v>
      </c>
      <c r="U103" s="18" t="n">
        <v>35</v>
      </c>
      <c r="V103" s="18" t="n">
        <v>32</v>
      </c>
      <c r="W103" s="20" t="n"/>
      <c r="X103" s="20" t="n"/>
      <c r="Y103" s="20" t="n"/>
      <c r="Z103" s="20" t="n"/>
      <c r="AA103" s="20" t="n"/>
      <c r="AB103" s="20" t="n"/>
      <c r="AC103" s="21">
        <f>IF(W103="","",W103-K103)</f>
        <v/>
      </c>
      <c r="AD103" s="21">
        <f>IF(X103="","",X103-L103)</f>
        <v/>
      </c>
      <c r="AE103" s="21">
        <f>IF(Y103="","",Y103-M103)</f>
        <v/>
      </c>
      <c r="AF103" s="21">
        <f>IF(Z103="","",Z103-N103)</f>
        <v/>
      </c>
      <c r="AG103" s="21">
        <f>IF(AA103="","",AA103-O103)</f>
        <v/>
      </c>
      <c r="AH103" s="21">
        <f>IF(AB103="","",AB103-P103)</f>
        <v/>
      </c>
      <c r="AI103" s="18">
        <f>IF(COUNTA(W103:AB103)=0,"未入力",IF(COUNTA(W103:AB103)&lt;6,"一部入力",IF(COUNTIF(AC103:AH103,0)=6,"一致","差分あり")))</f>
        <v/>
      </c>
      <c r="AJ1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3" s="19" t="inlineStr"/>
      <c r="AL103" s="18" t="inlineStr">
        <is>
          <t>2026-06-29</t>
        </is>
      </c>
    </row>
    <row r="104" ht="22" customHeight="1">
      <c r="A104" s="17" t="inlineStr">
        <is>
          <t>1001702-LB10</t>
        </is>
      </c>
      <c r="B104" s="18" t="n">
        <v>1001702</v>
      </c>
      <c r="C104" s="17" t="inlineStr">
        <is>
          <t>TKunimi02</t>
        </is>
      </c>
      <c r="D104" s="17" t="inlineStr">
        <is>
          <t>TKunimi</t>
        </is>
      </c>
      <c r="E104" s="17" t="inlineStr">
        <is>
          <t>國見 タマ</t>
        </is>
      </c>
      <c r="F104" s="19" t="inlineStr">
        <is>
          <t>ときめきアークライト</t>
        </is>
      </c>
      <c r="G104" s="18" t="inlineStr">
        <is>
          <t>S</t>
        </is>
      </c>
      <c r="H104" s="17" t="inlineStr">
        <is>
          <t>Healer</t>
        </is>
      </c>
      <c r="I104" s="18" t="n">
        <v>10</v>
      </c>
      <c r="J104" s="18" t="n">
        <v>10</v>
      </c>
      <c r="K104" s="18" t="n">
        <v>372</v>
      </c>
      <c r="L104" s="18" t="n">
        <v>410</v>
      </c>
      <c r="M104" s="18" t="n">
        <v>414</v>
      </c>
      <c r="N104" s="18" t="n">
        <v>389</v>
      </c>
      <c r="O104" s="18" t="n">
        <v>410</v>
      </c>
      <c r="P104" s="18" t="n">
        <v>378</v>
      </c>
      <c r="Q104" s="18" t="n">
        <v>38</v>
      </c>
      <c r="R104" s="18" t="n">
        <v>41</v>
      </c>
      <c r="S104" s="18" t="n">
        <v>42</v>
      </c>
      <c r="T104" s="18" t="n">
        <v>39</v>
      </c>
      <c r="U104" s="18" t="n">
        <v>41</v>
      </c>
      <c r="V104" s="18" t="n">
        <v>38</v>
      </c>
      <c r="W104" s="20" t="n"/>
      <c r="X104" s="20" t="n"/>
      <c r="Y104" s="20" t="n"/>
      <c r="Z104" s="20" t="n"/>
      <c r="AA104" s="20" t="n"/>
      <c r="AB104" s="20" t="n"/>
      <c r="AC104" s="21">
        <f>IF(W104="","",W104-K104)</f>
        <v/>
      </c>
      <c r="AD104" s="21">
        <f>IF(X104="","",X104-L104)</f>
        <v/>
      </c>
      <c r="AE104" s="21">
        <f>IF(Y104="","",Y104-M104)</f>
        <v/>
      </c>
      <c r="AF104" s="21">
        <f>IF(Z104="","",Z104-N104)</f>
        <v/>
      </c>
      <c r="AG104" s="21">
        <f>IF(AA104="","",AA104-O104)</f>
        <v/>
      </c>
      <c r="AH104" s="21">
        <f>IF(AB104="","",AB104-P104)</f>
        <v/>
      </c>
      <c r="AI104" s="18">
        <f>IF(COUNTA(W104:AB104)=0,"未入力",IF(COUNTA(W104:AB104)&lt;6,"一部入力",IF(COUNTIF(AC104:AH104,0)=6,"一致","差分あり")))</f>
        <v/>
      </c>
      <c r="AJ1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4" s="19" t="inlineStr"/>
      <c r="AL104" s="18" t="inlineStr">
        <is>
          <t>2026-06-29</t>
        </is>
      </c>
    </row>
    <row r="105" ht="22" customHeight="1">
      <c r="A105" s="17" t="inlineStr">
        <is>
          <t>1001703-LB0</t>
        </is>
      </c>
      <c r="B105" s="18" t="n">
        <v>1001703</v>
      </c>
      <c r="C105" s="17" t="inlineStr">
        <is>
          <t>TKunimi03</t>
        </is>
      </c>
      <c r="D105" s="17" t="inlineStr">
        <is>
          <t>TKunimi</t>
        </is>
      </c>
      <c r="E105" s="17" t="inlineStr">
        <is>
          <t>國見 タマ</t>
        </is>
      </c>
      <c r="F105" s="19" t="inlineStr">
        <is>
          <t>気合一閃エンジェルセイラー</t>
        </is>
      </c>
      <c r="G105" s="18" t="inlineStr">
        <is>
          <t>SS</t>
        </is>
      </c>
      <c r="H105" s="17" t="inlineStr">
        <is>
          <t>Healer</t>
        </is>
      </c>
      <c r="I105" s="18" t="n">
        <v>0</v>
      </c>
      <c r="J105" s="18" t="n">
        <v>4</v>
      </c>
      <c r="K105" s="18" t="n">
        <v>377</v>
      </c>
      <c r="L105" s="18" t="n">
        <v>372</v>
      </c>
      <c r="M105" s="18" t="n">
        <v>444</v>
      </c>
      <c r="N105" s="18" t="n">
        <v>407</v>
      </c>
      <c r="O105" s="18" t="n">
        <v>359</v>
      </c>
      <c r="P105" s="18" t="n">
        <v>338</v>
      </c>
      <c r="Q105" s="18" t="n">
        <v>38</v>
      </c>
      <c r="R105" s="18" t="n">
        <v>38</v>
      </c>
      <c r="S105" s="18" t="n">
        <v>45</v>
      </c>
      <c r="T105" s="18" t="n">
        <v>41</v>
      </c>
      <c r="U105" s="18" t="n">
        <v>36</v>
      </c>
      <c r="V105" s="18" t="n">
        <v>34</v>
      </c>
      <c r="W105" s="20" t="n"/>
      <c r="X105" s="20" t="n"/>
      <c r="Y105" s="20" t="n"/>
      <c r="Z105" s="20" t="n"/>
      <c r="AA105" s="20" t="n"/>
      <c r="AB105" s="20" t="n"/>
      <c r="AC105" s="21">
        <f>IF(W105="","",W105-K105)</f>
        <v/>
      </c>
      <c r="AD105" s="21">
        <f>IF(X105="","",X105-L105)</f>
        <v/>
      </c>
      <c r="AE105" s="21">
        <f>IF(Y105="","",Y105-M105)</f>
        <v/>
      </c>
      <c r="AF105" s="21">
        <f>IF(Z105="","",Z105-N105)</f>
        <v/>
      </c>
      <c r="AG105" s="21">
        <f>IF(AA105="","",AA105-O105)</f>
        <v/>
      </c>
      <c r="AH105" s="21">
        <f>IF(AB105="","",AB105-P105)</f>
        <v/>
      </c>
      <c r="AI105" s="18">
        <f>IF(COUNTA(W105:AB105)=0,"未入力",IF(COUNTA(W105:AB105)&lt;6,"一部入力",IF(COUNTIF(AC105:AH105,0)=6,"一致","差分あり")))</f>
        <v/>
      </c>
      <c r="AJ1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5" s="19" t="inlineStr"/>
      <c r="AL105" s="18" t="inlineStr">
        <is>
          <t>2026-06-29</t>
        </is>
      </c>
    </row>
    <row r="106" ht="22" customHeight="1">
      <c r="A106" s="17" t="inlineStr">
        <is>
          <t>1001703-LB4</t>
        </is>
      </c>
      <c r="B106" s="18" t="n">
        <v>1001703</v>
      </c>
      <c r="C106" s="17" t="inlineStr">
        <is>
          <t>TKunimi03</t>
        </is>
      </c>
      <c r="D106" s="17" t="inlineStr">
        <is>
          <t>TKunimi</t>
        </is>
      </c>
      <c r="E106" s="17" t="inlineStr">
        <is>
          <t>國見 タマ</t>
        </is>
      </c>
      <c r="F106" s="19" t="inlineStr">
        <is>
          <t>気合一閃エンジェルセイラー</t>
        </is>
      </c>
      <c r="G106" s="18" t="inlineStr">
        <is>
          <t>SS</t>
        </is>
      </c>
      <c r="H106" s="17" t="inlineStr">
        <is>
          <t>Healer</t>
        </is>
      </c>
      <c r="I106" s="18" t="n">
        <v>4</v>
      </c>
      <c r="J106" s="18" t="n">
        <v>4</v>
      </c>
      <c r="K106" s="18" t="n">
        <v>465</v>
      </c>
      <c r="L106" s="18" t="n">
        <v>459</v>
      </c>
      <c r="M106" s="18" t="n">
        <v>539</v>
      </c>
      <c r="N106" s="18" t="n">
        <v>499</v>
      </c>
      <c r="O106" s="18" t="n">
        <v>446</v>
      </c>
      <c r="P106" s="18" t="n">
        <v>424</v>
      </c>
      <c r="Q106" s="18" t="n">
        <v>47</v>
      </c>
      <c r="R106" s="18" t="n">
        <v>46</v>
      </c>
      <c r="S106" s="18" t="n">
        <v>54</v>
      </c>
      <c r="T106" s="18" t="n">
        <v>50</v>
      </c>
      <c r="U106" s="18" t="n">
        <v>45</v>
      </c>
      <c r="V106" s="18" t="n">
        <v>43</v>
      </c>
      <c r="W106" s="20" t="n"/>
      <c r="X106" s="20" t="n"/>
      <c r="Y106" s="20" t="n"/>
      <c r="Z106" s="20" t="n"/>
      <c r="AA106" s="20" t="n"/>
      <c r="AB106" s="20" t="n"/>
      <c r="AC106" s="21">
        <f>IF(W106="","",W106-K106)</f>
        <v/>
      </c>
      <c r="AD106" s="21">
        <f>IF(X106="","",X106-L106)</f>
        <v/>
      </c>
      <c r="AE106" s="21">
        <f>IF(Y106="","",Y106-M106)</f>
        <v/>
      </c>
      <c r="AF106" s="21">
        <f>IF(Z106="","",Z106-N106)</f>
        <v/>
      </c>
      <c r="AG106" s="21">
        <f>IF(AA106="","",AA106-O106)</f>
        <v/>
      </c>
      <c r="AH106" s="21">
        <f>IF(AB106="","",AB106-P106)</f>
        <v/>
      </c>
      <c r="AI106" s="18">
        <f>IF(COUNTA(W106:AB106)=0,"未入力",IF(COUNTA(W106:AB106)&lt;6,"一部入力",IF(COUNTIF(AC106:AH106,0)=6,"一致","差分あり")))</f>
        <v/>
      </c>
      <c r="AJ1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6" s="19" t="inlineStr"/>
      <c r="AL106" s="18" t="inlineStr">
        <is>
          <t>2026-06-29</t>
        </is>
      </c>
    </row>
    <row r="107" ht="22" customHeight="1">
      <c r="A107" s="17" t="inlineStr">
        <is>
          <t>1001704-LB0</t>
        </is>
      </c>
      <c r="B107" s="18" t="n">
        <v>1001704</v>
      </c>
      <c r="C107" s="17" t="inlineStr">
        <is>
          <t>TKunimi04</t>
        </is>
      </c>
      <c r="D107" s="17" t="inlineStr">
        <is>
          <t>TKunimi</t>
        </is>
      </c>
      <c r="E107" s="17" t="inlineStr">
        <is>
          <t>國見 タマ</t>
        </is>
      </c>
      <c r="F107" s="19" t="inlineStr">
        <is>
          <t>無邪気なデザイア</t>
        </is>
      </c>
      <c r="G107" s="18" t="inlineStr">
        <is>
          <t>S</t>
        </is>
      </c>
      <c r="H107" s="17" t="inlineStr">
        <is>
          <t>Healer</t>
        </is>
      </c>
      <c r="I107" s="18" t="n">
        <v>0</v>
      </c>
      <c r="J107" s="18" t="n">
        <v>10</v>
      </c>
      <c r="K107" s="18" t="n">
        <v>347</v>
      </c>
      <c r="L107" s="18" t="n">
        <v>302</v>
      </c>
      <c r="M107" s="18" t="n">
        <v>331</v>
      </c>
      <c r="N107" s="18" t="n">
        <v>332</v>
      </c>
      <c r="O107" s="18" t="n">
        <v>313</v>
      </c>
      <c r="P107" s="18" t="n">
        <v>345</v>
      </c>
      <c r="Q107" s="18" t="n">
        <v>35</v>
      </c>
      <c r="R107" s="18" t="n">
        <v>31</v>
      </c>
      <c r="S107" s="18" t="n">
        <v>34</v>
      </c>
      <c r="T107" s="18" t="n">
        <v>34</v>
      </c>
      <c r="U107" s="18" t="n">
        <v>32</v>
      </c>
      <c r="V107" s="18" t="n">
        <v>35</v>
      </c>
      <c r="W107" s="20" t="n"/>
      <c r="X107" s="20" t="n"/>
      <c r="Y107" s="20" t="n"/>
      <c r="Z107" s="20" t="n"/>
      <c r="AA107" s="20" t="n"/>
      <c r="AB107" s="20" t="n"/>
      <c r="AC107" s="21">
        <f>IF(W107="","",W107-K107)</f>
        <v/>
      </c>
      <c r="AD107" s="21">
        <f>IF(X107="","",X107-L107)</f>
        <v/>
      </c>
      <c r="AE107" s="21">
        <f>IF(Y107="","",Y107-M107)</f>
        <v/>
      </c>
      <c r="AF107" s="21">
        <f>IF(Z107="","",Z107-N107)</f>
        <v/>
      </c>
      <c r="AG107" s="21">
        <f>IF(AA107="","",AA107-O107)</f>
        <v/>
      </c>
      <c r="AH107" s="21">
        <f>IF(AB107="","",AB107-P107)</f>
        <v/>
      </c>
      <c r="AI107" s="18">
        <f>IF(COUNTA(W107:AB107)=0,"未入力",IF(COUNTA(W107:AB107)&lt;6,"一部入力",IF(COUNTIF(AC107:AH107,0)=6,"一致","差分あり")))</f>
        <v/>
      </c>
      <c r="AJ1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7" s="19" t="inlineStr"/>
      <c r="AL107" s="18" t="inlineStr">
        <is>
          <t>2026-06-29</t>
        </is>
      </c>
    </row>
    <row r="108" ht="22" customHeight="1">
      <c r="A108" s="17" t="inlineStr">
        <is>
          <t>1001704-LB10</t>
        </is>
      </c>
      <c r="B108" s="18" t="n">
        <v>1001704</v>
      </c>
      <c r="C108" s="17" t="inlineStr">
        <is>
          <t>TKunimi04</t>
        </is>
      </c>
      <c r="D108" s="17" t="inlineStr">
        <is>
          <t>TKunimi</t>
        </is>
      </c>
      <c r="E108" s="17" t="inlineStr">
        <is>
          <t>國見 タマ</t>
        </is>
      </c>
      <c r="F108" s="19" t="inlineStr">
        <is>
          <t>無邪気なデザイア</t>
        </is>
      </c>
      <c r="G108" s="18" t="inlineStr">
        <is>
          <t>S</t>
        </is>
      </c>
      <c r="H108" s="17" t="inlineStr">
        <is>
          <t>Healer</t>
        </is>
      </c>
      <c r="I108" s="18" t="n">
        <v>10</v>
      </c>
      <c r="J108" s="18" t="n">
        <v>10</v>
      </c>
      <c r="K108" s="18" t="n">
        <v>416</v>
      </c>
      <c r="L108" s="18" t="n">
        <v>367</v>
      </c>
      <c r="M108" s="18" t="n">
        <v>402</v>
      </c>
      <c r="N108" s="18" t="n">
        <v>401</v>
      </c>
      <c r="O108" s="18" t="n">
        <v>378</v>
      </c>
      <c r="P108" s="18" t="n">
        <v>410</v>
      </c>
      <c r="Q108" s="18" t="n">
        <v>42</v>
      </c>
      <c r="R108" s="18" t="n">
        <v>37</v>
      </c>
      <c r="S108" s="18" t="n">
        <v>41</v>
      </c>
      <c r="T108" s="18" t="n">
        <v>41</v>
      </c>
      <c r="U108" s="18" t="n">
        <v>38</v>
      </c>
      <c r="V108" s="18" t="n">
        <v>41</v>
      </c>
      <c r="W108" s="20" t="n"/>
      <c r="X108" s="20" t="n"/>
      <c r="Y108" s="20" t="n"/>
      <c r="Z108" s="20" t="n"/>
      <c r="AA108" s="20" t="n"/>
      <c r="AB108" s="20" t="n"/>
      <c r="AC108" s="21">
        <f>IF(W108="","",W108-K108)</f>
        <v/>
      </c>
      <c r="AD108" s="21">
        <f>IF(X108="","",X108-L108)</f>
        <v/>
      </c>
      <c r="AE108" s="21">
        <f>IF(Y108="","",Y108-M108)</f>
        <v/>
      </c>
      <c r="AF108" s="21">
        <f>IF(Z108="","",Z108-N108)</f>
        <v/>
      </c>
      <c r="AG108" s="21">
        <f>IF(AA108="","",AA108-O108)</f>
        <v/>
      </c>
      <c r="AH108" s="21">
        <f>IF(AB108="","",AB108-P108)</f>
        <v/>
      </c>
      <c r="AI108" s="18">
        <f>IF(COUNTA(W108:AB108)=0,"未入力",IF(COUNTA(W108:AB108)&lt;6,"一部入力",IF(COUNTIF(AC108:AH108,0)=6,"一致","差分あり")))</f>
        <v/>
      </c>
      <c r="AJ1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8" s="19" t="inlineStr"/>
      <c r="AL108" s="18" t="inlineStr">
        <is>
          <t>2026-06-29</t>
        </is>
      </c>
    </row>
    <row r="109" ht="22" customHeight="1">
      <c r="A109" s="17" t="inlineStr">
        <is>
          <t>1001705-LB0</t>
        </is>
      </c>
      <c r="B109" s="18" t="n">
        <v>1001705</v>
      </c>
      <c r="C109" s="17" t="inlineStr">
        <is>
          <t>TKunimi05</t>
        </is>
      </c>
      <c r="D109" s="17" t="inlineStr">
        <is>
          <t>TKunimi</t>
        </is>
      </c>
      <c r="E109" s="17" t="inlineStr">
        <is>
          <t>國見 タマ</t>
        </is>
      </c>
      <c r="F109" s="19" t="inlineStr">
        <is>
          <t>魔法の国のエレメンタル</t>
        </is>
      </c>
      <c r="G109" s="18" t="inlineStr">
        <is>
          <t>SS</t>
        </is>
      </c>
      <c r="H109" s="17" t="inlineStr">
        <is>
          <t>Healer</t>
        </is>
      </c>
      <c r="I109" s="18" t="n">
        <v>0</v>
      </c>
      <c r="J109" s="18" t="n">
        <v>4</v>
      </c>
      <c r="K109" s="18" t="n">
        <v>399</v>
      </c>
      <c r="L109" s="18" t="n">
        <v>394</v>
      </c>
      <c r="M109" s="18" t="n">
        <v>468</v>
      </c>
      <c r="N109" s="18" t="n">
        <v>430</v>
      </c>
      <c r="O109" s="18" t="n">
        <v>381</v>
      </c>
      <c r="P109" s="18" t="n">
        <v>359</v>
      </c>
      <c r="Q109" s="18" t="n">
        <v>40</v>
      </c>
      <c r="R109" s="18" t="n">
        <v>40</v>
      </c>
      <c r="S109" s="18" t="n">
        <v>47</v>
      </c>
      <c r="T109" s="18" t="n">
        <v>43</v>
      </c>
      <c r="U109" s="18" t="n">
        <v>39</v>
      </c>
      <c r="V109" s="18" t="n">
        <v>36</v>
      </c>
      <c r="W109" s="20" t="n"/>
      <c r="X109" s="20" t="n"/>
      <c r="Y109" s="20" t="n"/>
      <c r="Z109" s="20" t="n"/>
      <c r="AA109" s="20" t="n"/>
      <c r="AB109" s="20" t="n"/>
      <c r="AC109" s="21">
        <f>IF(W109="","",W109-K109)</f>
        <v/>
      </c>
      <c r="AD109" s="21">
        <f>IF(X109="","",X109-L109)</f>
        <v/>
      </c>
      <c r="AE109" s="21">
        <f>IF(Y109="","",Y109-M109)</f>
        <v/>
      </c>
      <c r="AF109" s="21">
        <f>IF(Z109="","",Z109-N109)</f>
        <v/>
      </c>
      <c r="AG109" s="21">
        <f>IF(AA109="","",AA109-O109)</f>
        <v/>
      </c>
      <c r="AH109" s="21">
        <f>IF(AB109="","",AB109-P109)</f>
        <v/>
      </c>
      <c r="AI109" s="18">
        <f>IF(COUNTA(W109:AB109)=0,"未入力",IF(COUNTA(W109:AB109)&lt;6,"一部入力",IF(COUNTIF(AC109:AH109,0)=6,"一致","差分あり")))</f>
        <v/>
      </c>
      <c r="AJ1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09" s="19" t="inlineStr"/>
      <c r="AL109" s="18" t="inlineStr">
        <is>
          <t>2026-06-29</t>
        </is>
      </c>
    </row>
    <row r="110" ht="22" customHeight="1">
      <c r="A110" s="17" t="inlineStr">
        <is>
          <t>1001705-LB4</t>
        </is>
      </c>
      <c r="B110" s="18" t="n">
        <v>1001705</v>
      </c>
      <c r="C110" s="17" t="inlineStr">
        <is>
          <t>TKunimi05</t>
        </is>
      </c>
      <c r="D110" s="17" t="inlineStr">
        <is>
          <t>TKunimi</t>
        </is>
      </c>
      <c r="E110" s="17" t="inlineStr">
        <is>
          <t>國見 タマ</t>
        </is>
      </c>
      <c r="F110" s="19" t="inlineStr">
        <is>
          <t>魔法の国のエレメンタル</t>
        </is>
      </c>
      <c r="G110" s="18" t="inlineStr">
        <is>
          <t>SS</t>
        </is>
      </c>
      <c r="H110" s="17" t="inlineStr">
        <is>
          <t>Healer</t>
        </is>
      </c>
      <c r="I110" s="18" t="n">
        <v>4</v>
      </c>
      <c r="J110" s="18" t="n">
        <v>4</v>
      </c>
      <c r="K110" s="18" t="n">
        <v>486</v>
      </c>
      <c r="L110" s="18" t="n">
        <v>480</v>
      </c>
      <c r="M110" s="18" t="n">
        <v>563</v>
      </c>
      <c r="N110" s="18" t="n">
        <v>522</v>
      </c>
      <c r="O110" s="18" t="n">
        <v>467</v>
      </c>
      <c r="P110" s="18" t="n">
        <v>446</v>
      </c>
      <c r="Q110" s="18" t="n">
        <v>49</v>
      </c>
      <c r="R110" s="18" t="n">
        <v>48</v>
      </c>
      <c r="S110" s="18" t="n">
        <v>57</v>
      </c>
      <c r="T110" s="18" t="n">
        <v>53</v>
      </c>
      <c r="U110" s="18" t="n">
        <v>47</v>
      </c>
      <c r="V110" s="18" t="n">
        <v>45</v>
      </c>
      <c r="W110" s="20" t="n"/>
      <c r="X110" s="20" t="n"/>
      <c r="Y110" s="20" t="n"/>
      <c r="Z110" s="20" t="n"/>
      <c r="AA110" s="20" t="n"/>
      <c r="AB110" s="20" t="n"/>
      <c r="AC110" s="21">
        <f>IF(W110="","",W110-K110)</f>
        <v/>
      </c>
      <c r="AD110" s="21">
        <f>IF(X110="","",X110-L110)</f>
        <v/>
      </c>
      <c r="AE110" s="21">
        <f>IF(Y110="","",Y110-M110)</f>
        <v/>
      </c>
      <c r="AF110" s="21">
        <f>IF(Z110="","",Z110-N110)</f>
        <v/>
      </c>
      <c r="AG110" s="21">
        <f>IF(AA110="","",AA110-O110)</f>
        <v/>
      </c>
      <c r="AH110" s="21">
        <f>IF(AB110="","",AB110-P110)</f>
        <v/>
      </c>
      <c r="AI110" s="18">
        <f>IF(COUNTA(W110:AB110)=0,"未入力",IF(COUNTA(W110:AB110)&lt;6,"一部入力",IF(COUNTIF(AC110:AH110,0)=6,"一致","差分あり")))</f>
        <v/>
      </c>
      <c r="AJ1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0" s="19" t="inlineStr"/>
      <c r="AL110" s="18" t="inlineStr">
        <is>
          <t>2026-06-29</t>
        </is>
      </c>
    </row>
    <row r="111" ht="22" customHeight="1">
      <c r="A111" s="17" t="inlineStr">
        <is>
          <t>1001706-LB0</t>
        </is>
      </c>
      <c r="B111" s="18" t="n">
        <v>1001706</v>
      </c>
      <c r="C111" s="17" t="inlineStr">
        <is>
          <t>TKunimi06</t>
        </is>
      </c>
      <c r="D111" s="17" t="inlineStr">
        <is>
          <t>TKunimi</t>
        </is>
      </c>
      <c r="E111" s="17" t="inlineStr">
        <is>
          <t>國見 タマ</t>
        </is>
      </c>
      <c r="F111" s="19" t="inlineStr">
        <is>
          <t>激突！！エア・ベース</t>
        </is>
      </c>
      <c r="G111" s="18" t="inlineStr">
        <is>
          <t>SS</t>
        </is>
      </c>
      <c r="H111" s="17" t="inlineStr">
        <is>
          <t>Healer</t>
        </is>
      </c>
      <c r="I111" s="18" t="n">
        <v>0</v>
      </c>
      <c r="J111" s="18" t="n">
        <v>4</v>
      </c>
      <c r="K111" s="18" t="n">
        <v>399</v>
      </c>
      <c r="L111" s="18" t="n">
        <v>394</v>
      </c>
      <c r="M111" s="18" t="n">
        <v>468</v>
      </c>
      <c r="N111" s="18" t="n">
        <v>430</v>
      </c>
      <c r="O111" s="18" t="n">
        <v>381</v>
      </c>
      <c r="P111" s="18" t="n">
        <v>359</v>
      </c>
      <c r="Q111" s="18" t="n">
        <v>40</v>
      </c>
      <c r="R111" s="18" t="n">
        <v>40</v>
      </c>
      <c r="S111" s="18" t="n">
        <v>47</v>
      </c>
      <c r="T111" s="18" t="n">
        <v>43</v>
      </c>
      <c r="U111" s="18" t="n">
        <v>39</v>
      </c>
      <c r="V111" s="18" t="n">
        <v>36</v>
      </c>
      <c r="W111" s="20" t="n"/>
      <c r="X111" s="20" t="n"/>
      <c r="Y111" s="20" t="n"/>
      <c r="Z111" s="20" t="n"/>
      <c r="AA111" s="20" t="n"/>
      <c r="AB111" s="20" t="n"/>
      <c r="AC111" s="21">
        <f>IF(W111="","",W111-K111)</f>
        <v/>
      </c>
      <c r="AD111" s="21">
        <f>IF(X111="","",X111-L111)</f>
        <v/>
      </c>
      <c r="AE111" s="21">
        <f>IF(Y111="","",Y111-M111)</f>
        <v/>
      </c>
      <c r="AF111" s="21">
        <f>IF(Z111="","",Z111-N111)</f>
        <v/>
      </c>
      <c r="AG111" s="21">
        <f>IF(AA111="","",AA111-O111)</f>
        <v/>
      </c>
      <c r="AH111" s="21">
        <f>IF(AB111="","",AB111-P111)</f>
        <v/>
      </c>
      <c r="AI111" s="18">
        <f>IF(COUNTA(W111:AB111)=0,"未入力",IF(COUNTA(W111:AB111)&lt;6,"一部入力",IF(COUNTIF(AC111:AH111,0)=6,"一致","差分あり")))</f>
        <v/>
      </c>
      <c r="AJ1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1" s="19" t="inlineStr"/>
      <c r="AL111" s="18" t="inlineStr">
        <is>
          <t>2026-06-29</t>
        </is>
      </c>
    </row>
    <row r="112" ht="22" customHeight="1">
      <c r="A112" s="17" t="inlineStr">
        <is>
          <t>1001706-LB4</t>
        </is>
      </c>
      <c r="B112" s="18" t="n">
        <v>1001706</v>
      </c>
      <c r="C112" s="17" t="inlineStr">
        <is>
          <t>TKunimi06</t>
        </is>
      </c>
      <c r="D112" s="17" t="inlineStr">
        <is>
          <t>TKunimi</t>
        </is>
      </c>
      <c r="E112" s="17" t="inlineStr">
        <is>
          <t>國見 タマ</t>
        </is>
      </c>
      <c r="F112" s="19" t="inlineStr">
        <is>
          <t>激突！！エア・ベース</t>
        </is>
      </c>
      <c r="G112" s="18" t="inlineStr">
        <is>
          <t>SS</t>
        </is>
      </c>
      <c r="H112" s="17" t="inlineStr">
        <is>
          <t>Healer</t>
        </is>
      </c>
      <c r="I112" s="18" t="n">
        <v>4</v>
      </c>
      <c r="J112" s="18" t="n">
        <v>4</v>
      </c>
      <c r="K112" s="18" t="n">
        <v>486</v>
      </c>
      <c r="L112" s="18" t="n">
        <v>480</v>
      </c>
      <c r="M112" s="18" t="n">
        <v>563</v>
      </c>
      <c r="N112" s="18" t="n">
        <v>522</v>
      </c>
      <c r="O112" s="18" t="n">
        <v>467</v>
      </c>
      <c r="P112" s="18" t="n">
        <v>446</v>
      </c>
      <c r="Q112" s="18" t="n">
        <v>49</v>
      </c>
      <c r="R112" s="18" t="n">
        <v>48</v>
      </c>
      <c r="S112" s="18" t="n">
        <v>57</v>
      </c>
      <c r="T112" s="18" t="n">
        <v>53</v>
      </c>
      <c r="U112" s="18" t="n">
        <v>47</v>
      </c>
      <c r="V112" s="18" t="n">
        <v>45</v>
      </c>
      <c r="W112" s="20" t="n"/>
      <c r="X112" s="20" t="n"/>
      <c r="Y112" s="20" t="n"/>
      <c r="Z112" s="20" t="n"/>
      <c r="AA112" s="20" t="n"/>
      <c r="AB112" s="20" t="n"/>
      <c r="AC112" s="21">
        <f>IF(W112="","",W112-K112)</f>
        <v/>
      </c>
      <c r="AD112" s="21">
        <f>IF(X112="","",X112-L112)</f>
        <v/>
      </c>
      <c r="AE112" s="21">
        <f>IF(Y112="","",Y112-M112)</f>
        <v/>
      </c>
      <c r="AF112" s="21">
        <f>IF(Z112="","",Z112-N112)</f>
        <v/>
      </c>
      <c r="AG112" s="21">
        <f>IF(AA112="","",AA112-O112)</f>
        <v/>
      </c>
      <c r="AH112" s="21">
        <f>IF(AB112="","",AB112-P112)</f>
        <v/>
      </c>
      <c r="AI112" s="18">
        <f>IF(COUNTA(W112:AB112)=0,"未入力",IF(COUNTA(W112:AB112)&lt;6,"一部入力",IF(COUNTIF(AC112:AH112,0)=6,"一致","差分あり")))</f>
        <v/>
      </c>
      <c r="AJ1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2" s="19" t="inlineStr"/>
      <c r="AL112" s="18" t="inlineStr">
        <is>
          <t>2026-06-29</t>
        </is>
      </c>
    </row>
    <row r="113" ht="22" customHeight="1">
      <c r="A113" s="17" t="inlineStr">
        <is>
          <t>1001707-LB0</t>
        </is>
      </c>
      <c r="B113" s="18" t="n">
        <v>1001707</v>
      </c>
      <c r="C113" s="17" t="inlineStr">
        <is>
          <t>TKunimi07</t>
        </is>
      </c>
      <c r="D113" s="17" t="inlineStr">
        <is>
          <t>TKunimi</t>
        </is>
      </c>
      <c r="E113" s="17" t="inlineStr">
        <is>
          <t>國見 タマ</t>
        </is>
      </c>
      <c r="F113" s="19" t="inlineStr">
        <is>
          <t>幻想のコーラル</t>
        </is>
      </c>
      <c r="G113" s="18" t="inlineStr">
        <is>
          <t>SS</t>
        </is>
      </c>
      <c r="H113" s="17" t="inlineStr">
        <is>
          <t>Healer</t>
        </is>
      </c>
      <c r="I113" s="18" t="n">
        <v>0</v>
      </c>
      <c r="J113" s="18" t="n">
        <v>4</v>
      </c>
      <c r="K113" s="18" t="n">
        <v>399</v>
      </c>
      <c r="L113" s="18" t="n">
        <v>394</v>
      </c>
      <c r="M113" s="18" t="n">
        <v>468</v>
      </c>
      <c r="N113" s="18" t="n">
        <v>430</v>
      </c>
      <c r="O113" s="18" t="n">
        <v>381</v>
      </c>
      <c r="P113" s="18" t="n">
        <v>359</v>
      </c>
      <c r="Q113" s="18" t="n">
        <v>40</v>
      </c>
      <c r="R113" s="18" t="n">
        <v>40</v>
      </c>
      <c r="S113" s="18" t="n">
        <v>47</v>
      </c>
      <c r="T113" s="18" t="n">
        <v>43</v>
      </c>
      <c r="U113" s="18" t="n">
        <v>39</v>
      </c>
      <c r="V113" s="18" t="n">
        <v>36</v>
      </c>
      <c r="W113" s="20" t="n"/>
      <c r="X113" s="20" t="n"/>
      <c r="Y113" s="20" t="n"/>
      <c r="Z113" s="20" t="n"/>
      <c r="AA113" s="20" t="n"/>
      <c r="AB113" s="20" t="n"/>
      <c r="AC113" s="21">
        <f>IF(W113="","",W113-K113)</f>
        <v/>
      </c>
      <c r="AD113" s="21">
        <f>IF(X113="","",X113-L113)</f>
        <v/>
      </c>
      <c r="AE113" s="21">
        <f>IF(Y113="","",Y113-M113)</f>
        <v/>
      </c>
      <c r="AF113" s="21">
        <f>IF(Z113="","",Z113-N113)</f>
        <v/>
      </c>
      <c r="AG113" s="21">
        <f>IF(AA113="","",AA113-O113)</f>
        <v/>
      </c>
      <c r="AH113" s="21">
        <f>IF(AB113="","",AB113-P113)</f>
        <v/>
      </c>
      <c r="AI113" s="18">
        <f>IF(COUNTA(W113:AB113)=0,"未入力",IF(COUNTA(W113:AB113)&lt;6,"一部入力",IF(COUNTIF(AC113:AH113,0)=6,"一致","差分あり")))</f>
        <v/>
      </c>
      <c r="AJ1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3" s="19" t="inlineStr"/>
      <c r="AL113" s="18" t="inlineStr">
        <is>
          <t>2026-06-29</t>
        </is>
      </c>
    </row>
    <row r="114" ht="22" customHeight="1">
      <c r="A114" s="17" t="inlineStr">
        <is>
          <t>1001707-LB4</t>
        </is>
      </c>
      <c r="B114" s="18" t="n">
        <v>1001707</v>
      </c>
      <c r="C114" s="17" t="inlineStr">
        <is>
          <t>TKunimi07</t>
        </is>
      </c>
      <c r="D114" s="17" t="inlineStr">
        <is>
          <t>TKunimi</t>
        </is>
      </c>
      <c r="E114" s="17" t="inlineStr">
        <is>
          <t>國見 タマ</t>
        </is>
      </c>
      <c r="F114" s="19" t="inlineStr">
        <is>
          <t>幻想のコーラル</t>
        </is>
      </c>
      <c r="G114" s="18" t="inlineStr">
        <is>
          <t>SS</t>
        </is>
      </c>
      <c r="H114" s="17" t="inlineStr">
        <is>
          <t>Healer</t>
        </is>
      </c>
      <c r="I114" s="18" t="n">
        <v>4</v>
      </c>
      <c r="J114" s="18" t="n">
        <v>4</v>
      </c>
      <c r="K114" s="18" t="n">
        <v>486</v>
      </c>
      <c r="L114" s="18" t="n">
        <v>480</v>
      </c>
      <c r="M114" s="18" t="n">
        <v>563</v>
      </c>
      <c r="N114" s="18" t="n">
        <v>522</v>
      </c>
      <c r="O114" s="18" t="n">
        <v>467</v>
      </c>
      <c r="P114" s="18" t="n">
        <v>446</v>
      </c>
      <c r="Q114" s="18" t="n">
        <v>49</v>
      </c>
      <c r="R114" s="18" t="n">
        <v>48</v>
      </c>
      <c r="S114" s="18" t="n">
        <v>57</v>
      </c>
      <c r="T114" s="18" t="n">
        <v>53</v>
      </c>
      <c r="U114" s="18" t="n">
        <v>47</v>
      </c>
      <c r="V114" s="18" t="n">
        <v>45</v>
      </c>
      <c r="W114" s="20" t="n"/>
      <c r="X114" s="20" t="n"/>
      <c r="Y114" s="20" t="n"/>
      <c r="Z114" s="20" t="n"/>
      <c r="AA114" s="20" t="n"/>
      <c r="AB114" s="20" t="n"/>
      <c r="AC114" s="21">
        <f>IF(W114="","",W114-K114)</f>
        <v/>
      </c>
      <c r="AD114" s="21">
        <f>IF(X114="","",X114-L114)</f>
        <v/>
      </c>
      <c r="AE114" s="21">
        <f>IF(Y114="","",Y114-M114)</f>
        <v/>
      </c>
      <c r="AF114" s="21">
        <f>IF(Z114="","",Z114-N114)</f>
        <v/>
      </c>
      <c r="AG114" s="21">
        <f>IF(AA114="","",AA114-O114)</f>
        <v/>
      </c>
      <c r="AH114" s="21">
        <f>IF(AB114="","",AB114-P114)</f>
        <v/>
      </c>
      <c r="AI114" s="18">
        <f>IF(COUNTA(W114:AB114)=0,"未入力",IF(COUNTA(W114:AB114)&lt;6,"一部入力",IF(COUNTIF(AC114:AH114,0)=6,"一致","差分あり")))</f>
        <v/>
      </c>
      <c r="AJ1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4" s="19" t="inlineStr"/>
      <c r="AL114" s="18" t="inlineStr">
        <is>
          <t>2026-06-29</t>
        </is>
      </c>
    </row>
    <row r="115" ht="22" customHeight="1">
      <c r="A115" s="17" t="inlineStr">
        <is>
          <t>1001708-LB0</t>
        </is>
      </c>
      <c r="B115" s="18" t="n">
        <v>1001708</v>
      </c>
      <c r="C115" s="17" t="inlineStr">
        <is>
          <t>TKunimi08</t>
        </is>
      </c>
      <c r="D115" s="17" t="inlineStr">
        <is>
          <t>TKunimi</t>
        </is>
      </c>
      <c r="E115" s="17" t="inlineStr">
        <is>
          <t>國見 タマ</t>
        </is>
      </c>
      <c r="F115" s="19" t="inlineStr">
        <is>
          <t>トワイライト・メモリーズ</t>
        </is>
      </c>
      <c r="G115" s="18" t="inlineStr">
        <is>
          <t>SS</t>
        </is>
      </c>
      <c r="H115" s="17" t="inlineStr">
        <is>
          <t>Buffer</t>
        </is>
      </c>
      <c r="I115" s="18" t="n">
        <v>0</v>
      </c>
      <c r="J115" s="18" t="n">
        <v>4</v>
      </c>
      <c r="K115" s="18" t="n">
        <v>399</v>
      </c>
      <c r="L115" s="18" t="n">
        <v>394</v>
      </c>
      <c r="M115" s="18" t="n">
        <v>468</v>
      </c>
      <c r="N115" s="18" t="n">
        <v>430</v>
      </c>
      <c r="O115" s="18" t="n">
        <v>381</v>
      </c>
      <c r="P115" s="18" t="n">
        <v>359</v>
      </c>
      <c r="Q115" s="18" t="n">
        <v>40</v>
      </c>
      <c r="R115" s="18" t="n">
        <v>40</v>
      </c>
      <c r="S115" s="18" t="n">
        <v>47</v>
      </c>
      <c r="T115" s="18" t="n">
        <v>43</v>
      </c>
      <c r="U115" s="18" t="n">
        <v>39</v>
      </c>
      <c r="V115" s="18" t="n">
        <v>36</v>
      </c>
      <c r="W115" s="20" t="n"/>
      <c r="X115" s="20" t="n"/>
      <c r="Y115" s="20" t="n"/>
      <c r="Z115" s="20" t="n"/>
      <c r="AA115" s="20" t="n"/>
      <c r="AB115" s="20" t="n"/>
      <c r="AC115" s="21">
        <f>IF(W115="","",W115-K115)</f>
        <v/>
      </c>
      <c r="AD115" s="21">
        <f>IF(X115="","",X115-L115)</f>
        <v/>
      </c>
      <c r="AE115" s="21">
        <f>IF(Y115="","",Y115-M115)</f>
        <v/>
      </c>
      <c r="AF115" s="21">
        <f>IF(Z115="","",Z115-N115)</f>
        <v/>
      </c>
      <c r="AG115" s="21">
        <f>IF(AA115="","",AA115-O115)</f>
        <v/>
      </c>
      <c r="AH115" s="21">
        <f>IF(AB115="","",AB115-P115)</f>
        <v/>
      </c>
      <c r="AI115" s="18">
        <f>IF(COUNTA(W115:AB115)=0,"未入力",IF(COUNTA(W115:AB115)&lt;6,"一部入力",IF(COUNTIF(AC115:AH115,0)=6,"一致","差分あり")))</f>
        <v/>
      </c>
      <c r="AJ1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5" s="19" t="inlineStr"/>
      <c r="AL115" s="18" t="inlineStr">
        <is>
          <t>2026-06-29</t>
        </is>
      </c>
    </row>
    <row r="116" ht="22" customHeight="1">
      <c r="A116" s="17" t="inlineStr">
        <is>
          <t>1001708-LB4</t>
        </is>
      </c>
      <c r="B116" s="18" t="n">
        <v>1001708</v>
      </c>
      <c r="C116" s="17" t="inlineStr">
        <is>
          <t>TKunimi08</t>
        </is>
      </c>
      <c r="D116" s="17" t="inlineStr">
        <is>
          <t>TKunimi</t>
        </is>
      </c>
      <c r="E116" s="17" t="inlineStr">
        <is>
          <t>國見 タマ</t>
        </is>
      </c>
      <c r="F116" s="19" t="inlineStr">
        <is>
          <t>トワイライト・メモリーズ</t>
        </is>
      </c>
      <c r="G116" s="18" t="inlineStr">
        <is>
          <t>SS</t>
        </is>
      </c>
      <c r="H116" s="17" t="inlineStr">
        <is>
          <t>Buffer</t>
        </is>
      </c>
      <c r="I116" s="18" t="n">
        <v>4</v>
      </c>
      <c r="J116" s="18" t="n">
        <v>4</v>
      </c>
      <c r="K116" s="18" t="n">
        <v>486</v>
      </c>
      <c r="L116" s="18" t="n">
        <v>480</v>
      </c>
      <c r="M116" s="18" t="n">
        <v>563</v>
      </c>
      <c r="N116" s="18" t="n">
        <v>522</v>
      </c>
      <c r="O116" s="18" t="n">
        <v>467</v>
      </c>
      <c r="P116" s="18" t="n">
        <v>446</v>
      </c>
      <c r="Q116" s="18" t="n">
        <v>49</v>
      </c>
      <c r="R116" s="18" t="n">
        <v>48</v>
      </c>
      <c r="S116" s="18" t="n">
        <v>57</v>
      </c>
      <c r="T116" s="18" t="n">
        <v>53</v>
      </c>
      <c r="U116" s="18" t="n">
        <v>47</v>
      </c>
      <c r="V116" s="18" t="n">
        <v>45</v>
      </c>
      <c r="W116" s="20" t="n"/>
      <c r="X116" s="20" t="n"/>
      <c r="Y116" s="20" t="n"/>
      <c r="Z116" s="20" t="n"/>
      <c r="AA116" s="20" t="n"/>
      <c r="AB116" s="20" t="n"/>
      <c r="AC116" s="21">
        <f>IF(W116="","",W116-K116)</f>
        <v/>
      </c>
      <c r="AD116" s="21">
        <f>IF(X116="","",X116-L116)</f>
        <v/>
      </c>
      <c r="AE116" s="21">
        <f>IF(Y116="","",Y116-M116)</f>
        <v/>
      </c>
      <c r="AF116" s="21">
        <f>IF(Z116="","",Z116-N116)</f>
        <v/>
      </c>
      <c r="AG116" s="21">
        <f>IF(AA116="","",AA116-O116)</f>
        <v/>
      </c>
      <c r="AH116" s="21">
        <f>IF(AB116="","",AB116-P116)</f>
        <v/>
      </c>
      <c r="AI116" s="18">
        <f>IF(COUNTA(W116:AB116)=0,"未入力",IF(COUNTA(W116:AB116)&lt;6,"一部入力",IF(COUNTIF(AC116:AH116,0)=6,"一致","差分あり")))</f>
        <v/>
      </c>
      <c r="AJ1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6" s="19" t="inlineStr"/>
      <c r="AL116" s="18" t="inlineStr">
        <is>
          <t>2026-06-29</t>
        </is>
      </c>
    </row>
    <row r="117" ht="22" customHeight="1">
      <c r="A117" s="17" t="inlineStr">
        <is>
          <t>1001709-LB0</t>
        </is>
      </c>
      <c r="B117" s="18" t="n">
        <v>1001709</v>
      </c>
      <c r="C117" s="17" t="inlineStr">
        <is>
          <t>TKunimi09</t>
        </is>
      </c>
      <c r="D117" s="17" t="inlineStr">
        <is>
          <t>TKunimi</t>
        </is>
      </c>
      <c r="E117" s="17" t="inlineStr">
        <is>
          <t>國見 タマ</t>
        </is>
      </c>
      <c r="F117" s="19" t="inlineStr">
        <is>
          <t>戦ぐゆりかご</t>
        </is>
      </c>
      <c r="G117" s="18" t="inlineStr">
        <is>
          <t>S</t>
        </is>
      </c>
      <c r="H117" s="17" t="inlineStr">
        <is>
          <t>Healer</t>
        </is>
      </c>
      <c r="I117" s="18" t="n">
        <v>0</v>
      </c>
      <c r="J117" s="18" t="n">
        <v>10</v>
      </c>
      <c r="K117" s="18" t="n">
        <v>317</v>
      </c>
      <c r="L117" s="18" t="n">
        <v>313</v>
      </c>
      <c r="M117" s="18" t="n">
        <v>378</v>
      </c>
      <c r="N117" s="18" t="n">
        <v>366</v>
      </c>
      <c r="O117" s="18" t="n">
        <v>302</v>
      </c>
      <c r="P117" s="18" t="n">
        <v>302</v>
      </c>
      <c r="Q117" s="18" t="n">
        <v>32</v>
      </c>
      <c r="R117" s="18" t="n">
        <v>32</v>
      </c>
      <c r="S117" s="18" t="n">
        <v>38</v>
      </c>
      <c r="T117" s="18" t="n">
        <v>37</v>
      </c>
      <c r="U117" s="18" t="n">
        <v>31</v>
      </c>
      <c r="V117" s="18" t="n">
        <v>31</v>
      </c>
      <c r="W117" s="20" t="n"/>
      <c r="X117" s="20" t="n"/>
      <c r="Y117" s="20" t="n"/>
      <c r="Z117" s="20" t="n"/>
      <c r="AA117" s="20" t="n"/>
      <c r="AB117" s="20" t="n"/>
      <c r="AC117" s="21">
        <f>IF(W117="","",W117-K117)</f>
        <v/>
      </c>
      <c r="AD117" s="21">
        <f>IF(X117="","",X117-L117)</f>
        <v/>
      </c>
      <c r="AE117" s="21">
        <f>IF(Y117="","",Y117-M117)</f>
        <v/>
      </c>
      <c r="AF117" s="21">
        <f>IF(Z117="","",Z117-N117)</f>
        <v/>
      </c>
      <c r="AG117" s="21">
        <f>IF(AA117="","",AA117-O117)</f>
        <v/>
      </c>
      <c r="AH117" s="21">
        <f>IF(AB117="","",AB117-P117)</f>
        <v/>
      </c>
      <c r="AI117" s="18">
        <f>IF(COUNTA(W117:AB117)=0,"未入力",IF(COUNTA(W117:AB117)&lt;6,"一部入力",IF(COUNTIF(AC117:AH117,0)=6,"一致","差分あり")))</f>
        <v/>
      </c>
      <c r="AJ1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7" s="19" t="inlineStr"/>
      <c r="AL117" s="18" t="inlineStr">
        <is>
          <t>2026-06-29</t>
        </is>
      </c>
    </row>
    <row r="118" ht="22" customHeight="1">
      <c r="A118" s="17" t="inlineStr">
        <is>
          <t>1001709-LB10</t>
        </is>
      </c>
      <c r="B118" s="18" t="n">
        <v>1001709</v>
      </c>
      <c r="C118" s="17" t="inlineStr">
        <is>
          <t>TKunimi09</t>
        </is>
      </c>
      <c r="D118" s="17" t="inlineStr">
        <is>
          <t>TKunimi</t>
        </is>
      </c>
      <c r="E118" s="17" t="inlineStr">
        <is>
          <t>國見 タマ</t>
        </is>
      </c>
      <c r="F118" s="19" t="inlineStr">
        <is>
          <t>戦ぐゆりかご</t>
        </is>
      </c>
      <c r="G118" s="18" t="inlineStr">
        <is>
          <t>S</t>
        </is>
      </c>
      <c r="H118" s="17" t="inlineStr">
        <is>
          <t>Healer</t>
        </is>
      </c>
      <c r="I118" s="18" t="n">
        <v>10</v>
      </c>
      <c r="J118" s="18" t="n">
        <v>10</v>
      </c>
      <c r="K118" s="18" t="n">
        <v>383</v>
      </c>
      <c r="L118" s="18" t="n">
        <v>378</v>
      </c>
      <c r="M118" s="18" t="n">
        <v>450</v>
      </c>
      <c r="N118" s="18" t="n">
        <v>435</v>
      </c>
      <c r="O118" s="18" t="n">
        <v>367</v>
      </c>
      <c r="P118" s="18" t="n">
        <v>367</v>
      </c>
      <c r="Q118" s="18" t="n">
        <v>39</v>
      </c>
      <c r="R118" s="18" t="n">
        <v>38</v>
      </c>
      <c r="S118" s="18" t="n">
        <v>45</v>
      </c>
      <c r="T118" s="18" t="n">
        <v>44</v>
      </c>
      <c r="U118" s="18" t="n">
        <v>37</v>
      </c>
      <c r="V118" s="18" t="n">
        <v>37</v>
      </c>
      <c r="W118" s="20" t="n"/>
      <c r="X118" s="20" t="n"/>
      <c r="Y118" s="20" t="n"/>
      <c r="Z118" s="20" t="n"/>
      <c r="AA118" s="20" t="n"/>
      <c r="AB118" s="20" t="n"/>
      <c r="AC118" s="21">
        <f>IF(W118="","",W118-K118)</f>
        <v/>
      </c>
      <c r="AD118" s="21">
        <f>IF(X118="","",X118-L118)</f>
        <v/>
      </c>
      <c r="AE118" s="21">
        <f>IF(Y118="","",Y118-M118)</f>
        <v/>
      </c>
      <c r="AF118" s="21">
        <f>IF(Z118="","",Z118-N118)</f>
        <v/>
      </c>
      <c r="AG118" s="21">
        <f>IF(AA118="","",AA118-O118)</f>
        <v/>
      </c>
      <c r="AH118" s="21">
        <f>IF(AB118="","",AB118-P118)</f>
        <v/>
      </c>
      <c r="AI118" s="18">
        <f>IF(COUNTA(W118:AB118)=0,"未入力",IF(COUNTA(W118:AB118)&lt;6,"一部入力",IF(COUNTIF(AC118:AH118,0)=6,"一致","差分あり")))</f>
        <v/>
      </c>
      <c r="AJ1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8" s="19" t="inlineStr"/>
      <c r="AL118" s="18" t="inlineStr">
        <is>
          <t>2026-06-29</t>
        </is>
      </c>
    </row>
    <row r="119" ht="22" customHeight="1">
      <c r="A119" s="17" t="inlineStr">
        <is>
          <t>1001710-LB0</t>
        </is>
      </c>
      <c r="B119" s="18" t="n">
        <v>1001710</v>
      </c>
      <c r="C119" s="17" t="inlineStr">
        <is>
          <t>TKunimi10</t>
        </is>
      </c>
      <c r="D119" s="17" t="inlineStr">
        <is>
          <t>TKunimi</t>
        </is>
      </c>
      <c r="E119" s="17" t="inlineStr">
        <is>
          <t>國見 タマ</t>
        </is>
      </c>
      <c r="F119" s="19" t="inlineStr">
        <is>
          <t>ようこそ♪ナイトメア・パレード</t>
        </is>
      </c>
      <c r="G119" s="18" t="inlineStr">
        <is>
          <t>SSR</t>
        </is>
      </c>
      <c r="H119" s="17" t="inlineStr">
        <is>
          <t>Debuffer</t>
        </is>
      </c>
      <c r="I119" s="18" t="n">
        <v>0</v>
      </c>
      <c r="J119" s="18" t="n">
        <v>4</v>
      </c>
      <c r="K119" s="18" t="n">
        <v>399</v>
      </c>
      <c r="L119" s="18" t="n">
        <v>394</v>
      </c>
      <c r="M119" s="18" t="n">
        <v>468</v>
      </c>
      <c r="N119" s="18" t="n">
        <v>430</v>
      </c>
      <c r="O119" s="18" t="n">
        <v>381</v>
      </c>
      <c r="P119" s="18" t="n">
        <v>359</v>
      </c>
      <c r="Q119" s="18" t="n">
        <v>40</v>
      </c>
      <c r="R119" s="18" t="n">
        <v>40</v>
      </c>
      <c r="S119" s="18" t="n">
        <v>47</v>
      </c>
      <c r="T119" s="18" t="n">
        <v>43</v>
      </c>
      <c r="U119" s="18" t="n">
        <v>39</v>
      </c>
      <c r="V119" s="18" t="n">
        <v>36</v>
      </c>
      <c r="W119" s="20" t="n"/>
      <c r="X119" s="20" t="n"/>
      <c r="Y119" s="20" t="n"/>
      <c r="Z119" s="20" t="n"/>
      <c r="AA119" s="20" t="n"/>
      <c r="AB119" s="20" t="n"/>
      <c r="AC119" s="21">
        <f>IF(W119="","",W119-K119)</f>
        <v/>
      </c>
      <c r="AD119" s="21">
        <f>IF(X119="","",X119-L119)</f>
        <v/>
      </c>
      <c r="AE119" s="21">
        <f>IF(Y119="","",Y119-M119)</f>
        <v/>
      </c>
      <c r="AF119" s="21">
        <f>IF(Z119="","",Z119-N119)</f>
        <v/>
      </c>
      <c r="AG119" s="21">
        <f>IF(AA119="","",AA119-O119)</f>
        <v/>
      </c>
      <c r="AH119" s="21">
        <f>IF(AB119="","",AB119-P119)</f>
        <v/>
      </c>
      <c r="AI119" s="18">
        <f>IF(COUNTA(W119:AB119)=0,"未入力",IF(COUNTA(W119:AB119)&lt;6,"一部入力",IF(COUNTIF(AC119:AH119,0)=6,"一致","差分あり")))</f>
        <v/>
      </c>
      <c r="AJ1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19" s="19" t="inlineStr"/>
      <c r="AL119" s="18" t="inlineStr">
        <is>
          <t>2026-06-29</t>
        </is>
      </c>
    </row>
    <row r="120" ht="22" customHeight="1">
      <c r="A120" s="17" t="inlineStr">
        <is>
          <t>1001710-LB4</t>
        </is>
      </c>
      <c r="B120" s="18" t="n">
        <v>1001710</v>
      </c>
      <c r="C120" s="17" t="inlineStr">
        <is>
          <t>TKunimi10</t>
        </is>
      </c>
      <c r="D120" s="17" t="inlineStr">
        <is>
          <t>TKunimi</t>
        </is>
      </c>
      <c r="E120" s="17" t="inlineStr">
        <is>
          <t>國見 タマ</t>
        </is>
      </c>
      <c r="F120" s="19" t="inlineStr">
        <is>
          <t>ようこそ♪ナイトメア・パレード</t>
        </is>
      </c>
      <c r="G120" s="18" t="inlineStr">
        <is>
          <t>SSR</t>
        </is>
      </c>
      <c r="H120" s="17" t="inlineStr">
        <is>
          <t>Debuffer</t>
        </is>
      </c>
      <c r="I120" s="18" t="n">
        <v>4</v>
      </c>
      <c r="J120" s="18" t="n">
        <v>4</v>
      </c>
      <c r="K120" s="18" t="n">
        <v>486</v>
      </c>
      <c r="L120" s="18" t="n">
        <v>480</v>
      </c>
      <c r="M120" s="18" t="n">
        <v>563</v>
      </c>
      <c r="N120" s="18" t="n">
        <v>522</v>
      </c>
      <c r="O120" s="18" t="n">
        <v>467</v>
      </c>
      <c r="P120" s="18" t="n">
        <v>446</v>
      </c>
      <c r="Q120" s="18" t="n">
        <v>49</v>
      </c>
      <c r="R120" s="18" t="n">
        <v>48</v>
      </c>
      <c r="S120" s="18" t="n">
        <v>57</v>
      </c>
      <c r="T120" s="18" t="n">
        <v>53</v>
      </c>
      <c r="U120" s="18" t="n">
        <v>47</v>
      </c>
      <c r="V120" s="18" t="n">
        <v>45</v>
      </c>
      <c r="W120" s="20" t="n"/>
      <c r="X120" s="20" t="n"/>
      <c r="Y120" s="20" t="n"/>
      <c r="Z120" s="20" t="n"/>
      <c r="AA120" s="20" t="n"/>
      <c r="AB120" s="20" t="n"/>
      <c r="AC120" s="21">
        <f>IF(W120="","",W120-K120)</f>
        <v/>
      </c>
      <c r="AD120" s="21">
        <f>IF(X120="","",X120-L120)</f>
        <v/>
      </c>
      <c r="AE120" s="21">
        <f>IF(Y120="","",Y120-M120)</f>
        <v/>
      </c>
      <c r="AF120" s="21">
        <f>IF(Z120="","",Z120-N120)</f>
        <v/>
      </c>
      <c r="AG120" s="21">
        <f>IF(AA120="","",AA120-O120)</f>
        <v/>
      </c>
      <c r="AH120" s="21">
        <f>IF(AB120="","",AB120-P120)</f>
        <v/>
      </c>
      <c r="AI120" s="18">
        <f>IF(COUNTA(W120:AB120)=0,"未入力",IF(COUNTA(W120:AB120)&lt;6,"一部入力",IF(COUNTIF(AC120:AH120,0)=6,"一致","差分あり")))</f>
        <v/>
      </c>
      <c r="AJ1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0" s="19" t="inlineStr"/>
      <c r="AL120" s="18" t="inlineStr">
        <is>
          <t>2026-06-29</t>
        </is>
      </c>
    </row>
    <row r="121" ht="22" customHeight="1">
      <c r="A121" s="17" t="inlineStr">
        <is>
          <t>1002101-LB0</t>
        </is>
      </c>
      <c r="B121" s="18" t="n">
        <v>1002101</v>
      </c>
      <c r="C121" s="17" t="inlineStr">
        <is>
          <t>EAoi01</t>
        </is>
      </c>
      <c r="D121" s="17" t="inlineStr">
        <is>
          <t>EAoi</t>
        </is>
      </c>
      <c r="E121" s="17" t="inlineStr">
        <is>
          <t>蒼井 えりか</t>
        </is>
      </c>
      <c r="F121" s="19" t="inlineStr">
        <is>
          <t>戦場の花散らし</t>
        </is>
      </c>
      <c r="G121" s="18" t="inlineStr">
        <is>
          <t>A</t>
        </is>
      </c>
      <c r="H121" s="17" t="inlineStr">
        <is>
          <t>Defender</t>
        </is>
      </c>
      <c r="I121" s="18" t="n">
        <v>0</v>
      </c>
      <c r="J121" s="18" t="n">
        <v>20</v>
      </c>
      <c r="K121" s="18" t="n">
        <v>246</v>
      </c>
      <c r="L121" s="18" t="n">
        <v>284</v>
      </c>
      <c r="M121" s="18" t="n">
        <v>294</v>
      </c>
      <c r="N121" s="18" t="n">
        <v>257</v>
      </c>
      <c r="O121" s="18" t="n">
        <v>281</v>
      </c>
      <c r="P121" s="18" t="n">
        <v>285</v>
      </c>
      <c r="Q121" s="18" t="n">
        <v>25</v>
      </c>
      <c r="R121" s="18" t="n">
        <v>29</v>
      </c>
      <c r="S121" s="18" t="n">
        <v>30</v>
      </c>
      <c r="T121" s="18" t="n">
        <v>26</v>
      </c>
      <c r="U121" s="18" t="n">
        <v>29</v>
      </c>
      <c r="V121" s="18" t="n">
        <v>29</v>
      </c>
      <c r="W121" s="20" t="n"/>
      <c r="X121" s="20" t="n"/>
      <c r="Y121" s="20" t="n"/>
      <c r="Z121" s="20" t="n"/>
      <c r="AA121" s="20" t="n"/>
      <c r="AB121" s="20" t="n"/>
      <c r="AC121" s="21">
        <f>IF(W121="","",W121-K121)</f>
        <v/>
      </c>
      <c r="AD121" s="21">
        <f>IF(X121="","",X121-L121)</f>
        <v/>
      </c>
      <c r="AE121" s="21">
        <f>IF(Y121="","",Y121-M121)</f>
        <v/>
      </c>
      <c r="AF121" s="21">
        <f>IF(Z121="","",Z121-N121)</f>
        <v/>
      </c>
      <c r="AG121" s="21">
        <f>IF(AA121="","",AA121-O121)</f>
        <v/>
      </c>
      <c r="AH121" s="21">
        <f>IF(AB121="","",AB121-P121)</f>
        <v/>
      </c>
      <c r="AI121" s="18">
        <f>IF(COUNTA(W121:AB121)=0,"未入力",IF(COUNTA(W121:AB121)&lt;6,"一部入力",IF(COUNTIF(AC121:AH121,0)=6,"一致","差分あり")))</f>
        <v/>
      </c>
      <c r="AJ1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1" s="19" t="inlineStr"/>
      <c r="AL121" s="18" t="inlineStr">
        <is>
          <t>2026-06-29</t>
        </is>
      </c>
    </row>
    <row r="122" ht="22" customHeight="1">
      <c r="A122" s="17" t="inlineStr">
        <is>
          <t>1002101-LB20</t>
        </is>
      </c>
      <c r="B122" s="18" t="n">
        <v>1002101</v>
      </c>
      <c r="C122" s="17" t="inlineStr">
        <is>
          <t>EAoi01</t>
        </is>
      </c>
      <c r="D122" s="17" t="inlineStr">
        <is>
          <t>EAoi</t>
        </is>
      </c>
      <c r="E122" s="17" t="inlineStr">
        <is>
          <t>蒼井 えりか</t>
        </is>
      </c>
      <c r="F122" s="19" t="inlineStr">
        <is>
          <t>戦場の花散らし</t>
        </is>
      </c>
      <c r="G122" s="18" t="inlineStr">
        <is>
          <t>A</t>
        </is>
      </c>
      <c r="H122" s="17" t="inlineStr">
        <is>
          <t>Defender</t>
        </is>
      </c>
      <c r="I122" s="18" t="n">
        <v>20</v>
      </c>
      <c r="J122" s="18" t="n">
        <v>20</v>
      </c>
      <c r="K122" s="18" t="n">
        <v>290</v>
      </c>
      <c r="L122" s="18" t="n">
        <v>328</v>
      </c>
      <c r="M122" s="18" t="n">
        <v>340</v>
      </c>
      <c r="N122" s="18" t="n">
        <v>303</v>
      </c>
      <c r="O122" s="18" t="n">
        <v>323</v>
      </c>
      <c r="P122" s="18" t="n">
        <v>330</v>
      </c>
      <c r="Q122" s="18" t="n">
        <v>29</v>
      </c>
      <c r="R122" s="18" t="n">
        <v>33</v>
      </c>
      <c r="S122" s="18" t="n">
        <v>34</v>
      </c>
      <c r="T122" s="18" t="n">
        <v>31</v>
      </c>
      <c r="U122" s="18" t="n">
        <v>33</v>
      </c>
      <c r="V122" s="18" t="n">
        <v>33</v>
      </c>
      <c r="W122" s="20" t="n"/>
      <c r="X122" s="20" t="n"/>
      <c r="Y122" s="20" t="n"/>
      <c r="Z122" s="20" t="n"/>
      <c r="AA122" s="20" t="n"/>
      <c r="AB122" s="20" t="n"/>
      <c r="AC122" s="21">
        <f>IF(W122="","",W122-K122)</f>
        <v/>
      </c>
      <c r="AD122" s="21">
        <f>IF(X122="","",X122-L122)</f>
        <v/>
      </c>
      <c r="AE122" s="21">
        <f>IF(Y122="","",Y122-M122)</f>
        <v/>
      </c>
      <c r="AF122" s="21">
        <f>IF(Z122="","",Z122-N122)</f>
        <v/>
      </c>
      <c r="AG122" s="21">
        <f>IF(AA122="","",AA122-O122)</f>
        <v/>
      </c>
      <c r="AH122" s="21">
        <f>IF(AB122="","",AB122-P122)</f>
        <v/>
      </c>
      <c r="AI122" s="18">
        <f>IF(COUNTA(W122:AB122)=0,"未入力",IF(COUNTA(W122:AB122)&lt;6,"一部入力",IF(COUNTIF(AC122:AH122,0)=6,"一致","差分あり")))</f>
        <v/>
      </c>
      <c r="AJ1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2" s="19" t="inlineStr"/>
      <c r="AL122" s="18" t="inlineStr">
        <is>
          <t>2026-06-29</t>
        </is>
      </c>
    </row>
    <row r="123" ht="22" customHeight="1">
      <c r="A123" s="17" t="inlineStr">
        <is>
          <t>1002102-LB0</t>
        </is>
      </c>
      <c r="B123" s="18" t="n">
        <v>1002102</v>
      </c>
      <c r="C123" s="17" t="inlineStr">
        <is>
          <t>EAoi02</t>
        </is>
      </c>
      <c r="D123" s="17" t="inlineStr">
        <is>
          <t>EAoi</t>
        </is>
      </c>
      <c r="E123" s="17" t="inlineStr">
        <is>
          <t>蒼井 えりか</t>
        </is>
      </c>
      <c r="F123" s="19" t="inlineStr">
        <is>
          <t>セツナ・memory</t>
        </is>
      </c>
      <c r="G123" s="18" t="inlineStr">
        <is>
          <t>S</t>
        </is>
      </c>
      <c r="H123" s="17" t="inlineStr">
        <is>
          <t>Defender</t>
        </is>
      </c>
      <c r="I123" s="18" t="n">
        <v>0</v>
      </c>
      <c r="J123" s="18" t="n">
        <v>10</v>
      </c>
      <c r="K123" s="18" t="n">
        <v>317</v>
      </c>
      <c r="L123" s="18" t="n">
        <v>312</v>
      </c>
      <c r="M123" s="18" t="n">
        <v>365</v>
      </c>
      <c r="N123" s="18" t="n">
        <v>365</v>
      </c>
      <c r="O123" s="18" t="n">
        <v>297</v>
      </c>
      <c r="P123" s="18" t="n">
        <v>313</v>
      </c>
      <c r="Q123" s="18" t="n">
        <v>32</v>
      </c>
      <c r="R123" s="18" t="n">
        <v>32</v>
      </c>
      <c r="S123" s="18" t="n">
        <v>37</v>
      </c>
      <c r="T123" s="18" t="n">
        <v>37</v>
      </c>
      <c r="U123" s="18" t="n">
        <v>30</v>
      </c>
      <c r="V123" s="18" t="n">
        <v>32</v>
      </c>
      <c r="W123" s="20" t="n"/>
      <c r="X123" s="20" t="n"/>
      <c r="Y123" s="20" t="n"/>
      <c r="Z123" s="20" t="n"/>
      <c r="AA123" s="20" t="n"/>
      <c r="AB123" s="20" t="n"/>
      <c r="AC123" s="21">
        <f>IF(W123="","",W123-K123)</f>
        <v/>
      </c>
      <c r="AD123" s="21">
        <f>IF(X123="","",X123-L123)</f>
        <v/>
      </c>
      <c r="AE123" s="21">
        <f>IF(Y123="","",Y123-M123)</f>
        <v/>
      </c>
      <c r="AF123" s="21">
        <f>IF(Z123="","",Z123-N123)</f>
        <v/>
      </c>
      <c r="AG123" s="21">
        <f>IF(AA123="","",AA123-O123)</f>
        <v/>
      </c>
      <c r="AH123" s="21">
        <f>IF(AB123="","",AB123-P123)</f>
        <v/>
      </c>
      <c r="AI123" s="18">
        <f>IF(COUNTA(W123:AB123)=0,"未入力",IF(COUNTA(W123:AB123)&lt;6,"一部入力",IF(COUNTIF(AC123:AH123,0)=6,"一致","差分あり")))</f>
        <v/>
      </c>
      <c r="AJ1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3" s="19" t="inlineStr"/>
      <c r="AL123" s="18" t="inlineStr">
        <is>
          <t>2026-06-29</t>
        </is>
      </c>
    </row>
    <row r="124" ht="22" customHeight="1">
      <c r="A124" s="17" t="inlineStr">
        <is>
          <t>1002102-LB10</t>
        </is>
      </c>
      <c r="B124" s="18" t="n">
        <v>1002102</v>
      </c>
      <c r="C124" s="17" t="inlineStr">
        <is>
          <t>EAoi02</t>
        </is>
      </c>
      <c r="D124" s="17" t="inlineStr">
        <is>
          <t>EAoi</t>
        </is>
      </c>
      <c r="E124" s="17" t="inlineStr">
        <is>
          <t>蒼井 えりか</t>
        </is>
      </c>
      <c r="F124" s="19" t="inlineStr">
        <is>
          <t>セツナ・memory</t>
        </is>
      </c>
      <c r="G124" s="18" t="inlineStr">
        <is>
          <t>S</t>
        </is>
      </c>
      <c r="H124" s="17" t="inlineStr">
        <is>
          <t>Defender</t>
        </is>
      </c>
      <c r="I124" s="18" t="n">
        <v>10</v>
      </c>
      <c r="J124" s="18" t="n">
        <v>10</v>
      </c>
      <c r="K124" s="18" t="n">
        <v>383</v>
      </c>
      <c r="L124" s="18" t="n">
        <v>376</v>
      </c>
      <c r="M124" s="18" t="n">
        <v>437</v>
      </c>
      <c r="N124" s="18" t="n">
        <v>434</v>
      </c>
      <c r="O124" s="18" t="n">
        <v>361</v>
      </c>
      <c r="P124" s="18" t="n">
        <v>380</v>
      </c>
      <c r="Q124" s="18" t="n">
        <v>39</v>
      </c>
      <c r="R124" s="18" t="n">
        <v>38</v>
      </c>
      <c r="S124" s="18" t="n">
        <v>44</v>
      </c>
      <c r="T124" s="18" t="n">
        <v>44</v>
      </c>
      <c r="U124" s="18" t="n">
        <v>37</v>
      </c>
      <c r="V124" s="18" t="n">
        <v>38</v>
      </c>
      <c r="W124" s="20" t="n"/>
      <c r="X124" s="20" t="n"/>
      <c r="Y124" s="20" t="n"/>
      <c r="Z124" s="20" t="n"/>
      <c r="AA124" s="20" t="n"/>
      <c r="AB124" s="20" t="n"/>
      <c r="AC124" s="21">
        <f>IF(W124="","",W124-K124)</f>
        <v/>
      </c>
      <c r="AD124" s="21">
        <f>IF(X124="","",X124-L124)</f>
        <v/>
      </c>
      <c r="AE124" s="21">
        <f>IF(Y124="","",Y124-M124)</f>
        <v/>
      </c>
      <c r="AF124" s="21">
        <f>IF(Z124="","",Z124-N124)</f>
        <v/>
      </c>
      <c r="AG124" s="21">
        <f>IF(AA124="","",AA124-O124)</f>
        <v/>
      </c>
      <c r="AH124" s="21">
        <f>IF(AB124="","",AB124-P124)</f>
        <v/>
      </c>
      <c r="AI124" s="18">
        <f>IF(COUNTA(W124:AB124)=0,"未入力",IF(COUNTA(W124:AB124)&lt;6,"一部入力",IF(COUNTIF(AC124:AH124,0)=6,"一致","差分あり")))</f>
        <v/>
      </c>
      <c r="AJ1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4" s="19" t="inlineStr"/>
      <c r="AL124" s="18" t="inlineStr">
        <is>
          <t>2026-06-29</t>
        </is>
      </c>
    </row>
    <row r="125" ht="22" customHeight="1">
      <c r="A125" s="17" t="inlineStr">
        <is>
          <t>1002103-LB0</t>
        </is>
      </c>
      <c r="B125" s="18" t="n">
        <v>1002103</v>
      </c>
      <c r="C125" s="17" t="inlineStr">
        <is>
          <t>EAoi03</t>
        </is>
      </c>
      <c r="D125" s="17" t="inlineStr">
        <is>
          <t>EAoi</t>
        </is>
      </c>
      <c r="E125" s="17" t="inlineStr">
        <is>
          <t>蒼井 えりか</t>
        </is>
      </c>
      <c r="F125" s="19" t="inlineStr">
        <is>
          <t>ココロ・Inspire</t>
        </is>
      </c>
      <c r="G125" s="18" t="inlineStr">
        <is>
          <t>SS</t>
        </is>
      </c>
      <c r="H125" s="17" t="inlineStr">
        <is>
          <t>Defender</t>
        </is>
      </c>
      <c r="I125" s="18" t="n">
        <v>0</v>
      </c>
      <c r="J125" s="18" t="n">
        <v>4</v>
      </c>
      <c r="K125" s="18" t="n">
        <v>377</v>
      </c>
      <c r="L125" s="18" t="n">
        <v>371</v>
      </c>
      <c r="M125" s="18" t="n">
        <v>432</v>
      </c>
      <c r="N125" s="18" t="n">
        <v>406</v>
      </c>
      <c r="O125" s="18" t="n">
        <v>353</v>
      </c>
      <c r="P125" s="18" t="n">
        <v>349</v>
      </c>
      <c r="Q125" s="18" t="n">
        <v>38</v>
      </c>
      <c r="R125" s="18" t="n">
        <v>38</v>
      </c>
      <c r="S125" s="18" t="n">
        <v>44</v>
      </c>
      <c r="T125" s="18" t="n">
        <v>41</v>
      </c>
      <c r="U125" s="18" t="n">
        <v>36</v>
      </c>
      <c r="V125" s="18" t="n">
        <v>35</v>
      </c>
      <c r="W125" s="20" t="n"/>
      <c r="X125" s="20" t="n"/>
      <c r="Y125" s="20" t="n"/>
      <c r="Z125" s="20" t="n"/>
      <c r="AA125" s="20" t="n"/>
      <c r="AB125" s="20" t="n"/>
      <c r="AC125" s="21">
        <f>IF(W125="","",W125-K125)</f>
        <v/>
      </c>
      <c r="AD125" s="21">
        <f>IF(X125="","",X125-L125)</f>
        <v/>
      </c>
      <c r="AE125" s="21">
        <f>IF(Y125="","",Y125-M125)</f>
        <v/>
      </c>
      <c r="AF125" s="21">
        <f>IF(Z125="","",Z125-N125)</f>
        <v/>
      </c>
      <c r="AG125" s="21">
        <f>IF(AA125="","",AA125-O125)</f>
        <v/>
      </c>
      <c r="AH125" s="21">
        <f>IF(AB125="","",AB125-P125)</f>
        <v/>
      </c>
      <c r="AI125" s="18">
        <f>IF(COUNTA(W125:AB125)=0,"未入力",IF(COUNTA(W125:AB125)&lt;6,"一部入力",IF(COUNTIF(AC125:AH125,0)=6,"一致","差分あり")))</f>
        <v/>
      </c>
      <c r="AJ1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5" s="19" t="inlineStr"/>
      <c r="AL125" s="18" t="inlineStr">
        <is>
          <t>2026-06-29</t>
        </is>
      </c>
    </row>
    <row r="126" ht="22" customHeight="1">
      <c r="A126" s="17" t="inlineStr">
        <is>
          <t>1002103-LB4</t>
        </is>
      </c>
      <c r="B126" s="18" t="n">
        <v>1002103</v>
      </c>
      <c r="C126" s="17" t="inlineStr">
        <is>
          <t>EAoi03</t>
        </is>
      </c>
      <c r="D126" s="17" t="inlineStr">
        <is>
          <t>EAoi</t>
        </is>
      </c>
      <c r="E126" s="17" t="inlineStr">
        <is>
          <t>蒼井 えりか</t>
        </is>
      </c>
      <c r="F126" s="19" t="inlineStr">
        <is>
          <t>ココロ・Inspire</t>
        </is>
      </c>
      <c r="G126" s="18" t="inlineStr">
        <is>
          <t>SS</t>
        </is>
      </c>
      <c r="H126" s="17" t="inlineStr">
        <is>
          <t>Defender</t>
        </is>
      </c>
      <c r="I126" s="18" t="n">
        <v>4</v>
      </c>
      <c r="J126" s="18" t="n">
        <v>4</v>
      </c>
      <c r="K126" s="18" t="n">
        <v>465</v>
      </c>
      <c r="L126" s="18" t="n">
        <v>457</v>
      </c>
      <c r="M126" s="18" t="n">
        <v>525</v>
      </c>
      <c r="N126" s="18" t="n">
        <v>497</v>
      </c>
      <c r="O126" s="18" t="n">
        <v>438</v>
      </c>
      <c r="P126" s="18" t="n">
        <v>439</v>
      </c>
      <c r="Q126" s="18" t="n">
        <v>47</v>
      </c>
      <c r="R126" s="18" t="n">
        <v>46</v>
      </c>
      <c r="S126" s="18" t="n">
        <v>53</v>
      </c>
      <c r="T126" s="18" t="n">
        <v>50</v>
      </c>
      <c r="U126" s="18" t="n">
        <v>44</v>
      </c>
      <c r="V126" s="18" t="n">
        <v>44</v>
      </c>
      <c r="W126" s="20" t="n"/>
      <c r="X126" s="20" t="n"/>
      <c r="Y126" s="20" t="n"/>
      <c r="Z126" s="20" t="n"/>
      <c r="AA126" s="20" t="n"/>
      <c r="AB126" s="20" t="n"/>
      <c r="AC126" s="21">
        <f>IF(W126="","",W126-K126)</f>
        <v/>
      </c>
      <c r="AD126" s="21">
        <f>IF(X126="","",X126-L126)</f>
        <v/>
      </c>
      <c r="AE126" s="21">
        <f>IF(Y126="","",Y126-M126)</f>
        <v/>
      </c>
      <c r="AF126" s="21">
        <f>IF(Z126="","",Z126-N126)</f>
        <v/>
      </c>
      <c r="AG126" s="21">
        <f>IF(AA126="","",AA126-O126)</f>
        <v/>
      </c>
      <c r="AH126" s="21">
        <f>IF(AB126="","",AB126-P126)</f>
        <v/>
      </c>
      <c r="AI126" s="18">
        <f>IF(COUNTA(W126:AB126)=0,"未入力",IF(COUNTA(W126:AB126)&lt;6,"一部入力",IF(COUNTIF(AC126:AH126,0)=6,"一致","差分あり")))</f>
        <v/>
      </c>
      <c r="AJ1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6" s="19" t="inlineStr"/>
      <c r="AL126" s="18" t="inlineStr">
        <is>
          <t>2026-06-29</t>
        </is>
      </c>
    </row>
    <row r="127" ht="22" customHeight="1">
      <c r="A127" s="17" t="inlineStr">
        <is>
          <t>1002104-LB0</t>
        </is>
      </c>
      <c r="B127" s="18" t="n">
        <v>1002104</v>
      </c>
      <c r="C127" s="17" t="inlineStr">
        <is>
          <t>EAoi04</t>
        </is>
      </c>
      <c r="D127" s="17" t="inlineStr">
        <is>
          <t>EAoi</t>
        </is>
      </c>
      <c r="E127" s="17" t="inlineStr">
        <is>
          <t>蒼井 えりか</t>
        </is>
      </c>
      <c r="F127" s="19" t="inlineStr">
        <is>
          <t>トドケ・Miracle</t>
        </is>
      </c>
      <c r="G127" s="18" t="inlineStr">
        <is>
          <t>SS</t>
        </is>
      </c>
      <c r="H127" s="17" t="inlineStr">
        <is>
          <t>Defender</t>
        </is>
      </c>
      <c r="I127" s="18" t="n">
        <v>0</v>
      </c>
      <c r="J127" s="18" t="n">
        <v>4</v>
      </c>
      <c r="K127" s="18" t="n">
        <v>434</v>
      </c>
      <c r="L127" s="18" t="n">
        <v>358</v>
      </c>
      <c r="M127" s="18" t="n">
        <v>405</v>
      </c>
      <c r="N127" s="18" t="n">
        <v>415</v>
      </c>
      <c r="O127" s="18" t="n">
        <v>387</v>
      </c>
      <c r="P127" s="18" t="n">
        <v>420</v>
      </c>
      <c r="Q127" s="18" t="n">
        <v>44</v>
      </c>
      <c r="R127" s="18" t="n">
        <v>36</v>
      </c>
      <c r="S127" s="18" t="n">
        <v>41</v>
      </c>
      <c r="T127" s="18" t="n">
        <v>42</v>
      </c>
      <c r="U127" s="18" t="n">
        <v>39</v>
      </c>
      <c r="V127" s="18" t="n">
        <v>42</v>
      </c>
      <c r="W127" s="20" t="n"/>
      <c r="X127" s="20" t="n"/>
      <c r="Y127" s="20" t="n"/>
      <c r="Z127" s="20" t="n"/>
      <c r="AA127" s="20" t="n"/>
      <c r="AB127" s="20" t="n"/>
      <c r="AC127" s="21">
        <f>IF(W127="","",W127-K127)</f>
        <v/>
      </c>
      <c r="AD127" s="21">
        <f>IF(X127="","",X127-L127)</f>
        <v/>
      </c>
      <c r="AE127" s="21">
        <f>IF(Y127="","",Y127-M127)</f>
        <v/>
      </c>
      <c r="AF127" s="21">
        <f>IF(Z127="","",Z127-N127)</f>
        <v/>
      </c>
      <c r="AG127" s="21">
        <f>IF(AA127="","",AA127-O127)</f>
        <v/>
      </c>
      <c r="AH127" s="21">
        <f>IF(AB127="","",AB127-P127)</f>
        <v/>
      </c>
      <c r="AI127" s="18">
        <f>IF(COUNTA(W127:AB127)=0,"未入力",IF(COUNTA(W127:AB127)&lt;6,"一部入力",IF(COUNTIF(AC127:AH127,0)=6,"一致","差分あり")))</f>
        <v/>
      </c>
      <c r="AJ1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7" s="19" t="inlineStr"/>
      <c r="AL127" s="18" t="inlineStr">
        <is>
          <t>2026-06-29</t>
        </is>
      </c>
    </row>
    <row r="128" ht="22" customHeight="1">
      <c r="A128" s="17" t="inlineStr">
        <is>
          <t>1002104-LB4</t>
        </is>
      </c>
      <c r="B128" s="18" t="n">
        <v>1002104</v>
      </c>
      <c r="C128" s="17" t="inlineStr">
        <is>
          <t>EAoi04</t>
        </is>
      </c>
      <c r="D128" s="17" t="inlineStr">
        <is>
          <t>EAoi</t>
        </is>
      </c>
      <c r="E128" s="17" t="inlineStr">
        <is>
          <t>蒼井 えりか</t>
        </is>
      </c>
      <c r="F128" s="19" t="inlineStr">
        <is>
          <t>トドケ・Miracle</t>
        </is>
      </c>
      <c r="G128" s="18" t="inlineStr">
        <is>
          <t>SS</t>
        </is>
      </c>
      <c r="H128" s="17" t="inlineStr">
        <is>
          <t>Defender</t>
        </is>
      </c>
      <c r="I128" s="18" t="n">
        <v>4</v>
      </c>
      <c r="J128" s="18" t="n">
        <v>4</v>
      </c>
      <c r="K128" s="18" t="n">
        <v>521</v>
      </c>
      <c r="L128" s="18" t="n">
        <v>444</v>
      </c>
      <c r="M128" s="18" t="n">
        <v>497</v>
      </c>
      <c r="N128" s="18" t="n">
        <v>507</v>
      </c>
      <c r="O128" s="18" t="n">
        <v>472</v>
      </c>
      <c r="P128" s="18" t="n">
        <v>510</v>
      </c>
      <c r="Q128" s="18" t="n">
        <v>53</v>
      </c>
      <c r="R128" s="18" t="n">
        <v>45</v>
      </c>
      <c r="S128" s="18" t="n">
        <v>50</v>
      </c>
      <c r="T128" s="18" t="n">
        <v>51</v>
      </c>
      <c r="U128" s="18" t="n">
        <v>48</v>
      </c>
      <c r="V128" s="18" t="n">
        <v>51</v>
      </c>
      <c r="W128" s="20" t="n"/>
      <c r="X128" s="20" t="n"/>
      <c r="Y128" s="20" t="n"/>
      <c r="Z128" s="20" t="n"/>
      <c r="AA128" s="20" t="n"/>
      <c r="AB128" s="20" t="n"/>
      <c r="AC128" s="21">
        <f>IF(W128="","",W128-K128)</f>
        <v/>
      </c>
      <c r="AD128" s="21">
        <f>IF(X128="","",X128-L128)</f>
        <v/>
      </c>
      <c r="AE128" s="21">
        <f>IF(Y128="","",Y128-M128)</f>
        <v/>
      </c>
      <c r="AF128" s="21">
        <f>IF(Z128="","",Z128-N128)</f>
        <v/>
      </c>
      <c r="AG128" s="21">
        <f>IF(AA128="","",AA128-O128)</f>
        <v/>
      </c>
      <c r="AH128" s="21">
        <f>IF(AB128="","",AB128-P128)</f>
        <v/>
      </c>
      <c r="AI128" s="18">
        <f>IF(COUNTA(W128:AB128)=0,"未入力",IF(COUNTA(W128:AB128)&lt;6,"一部入力",IF(COUNTIF(AC128:AH128,0)=6,"一致","差分あり")))</f>
        <v/>
      </c>
      <c r="AJ1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8" s="19" t="inlineStr"/>
      <c r="AL128" s="18" t="inlineStr">
        <is>
          <t>2026-06-29</t>
        </is>
      </c>
    </row>
    <row r="129" ht="22" customHeight="1">
      <c r="A129" s="17" t="inlineStr">
        <is>
          <t>1002105-LB0</t>
        </is>
      </c>
      <c r="B129" s="18" t="n">
        <v>1002105</v>
      </c>
      <c r="C129" s="17" t="inlineStr">
        <is>
          <t>EAoi05</t>
        </is>
      </c>
      <c r="D129" s="17" t="inlineStr">
        <is>
          <t>EAoi</t>
        </is>
      </c>
      <c r="E129" s="17" t="inlineStr">
        <is>
          <t>蒼井 えりか</t>
        </is>
      </c>
      <c r="F129" s="19" t="inlineStr">
        <is>
          <t>キララ・究極のアイドル</t>
        </is>
      </c>
      <c r="G129" s="18" t="inlineStr">
        <is>
          <t>SS</t>
        </is>
      </c>
      <c r="H129" s="17" t="inlineStr">
        <is>
          <t>Defender</t>
        </is>
      </c>
      <c r="I129" s="18" t="n">
        <v>0</v>
      </c>
      <c r="J129" s="18" t="n">
        <v>4</v>
      </c>
      <c r="K129" s="18" t="n">
        <v>399</v>
      </c>
      <c r="L129" s="18" t="n">
        <v>392</v>
      </c>
      <c r="M129" s="18" t="n">
        <v>455</v>
      </c>
      <c r="N129" s="18" t="n">
        <v>429</v>
      </c>
      <c r="O129" s="18" t="n">
        <v>375</v>
      </c>
      <c r="P129" s="18" t="n">
        <v>371</v>
      </c>
      <c r="Q129" s="18" t="n">
        <v>40</v>
      </c>
      <c r="R129" s="18" t="n">
        <v>40</v>
      </c>
      <c r="S129" s="18" t="n">
        <v>46</v>
      </c>
      <c r="T129" s="18" t="n">
        <v>43</v>
      </c>
      <c r="U129" s="18" t="n">
        <v>38</v>
      </c>
      <c r="V129" s="18" t="n">
        <v>38</v>
      </c>
      <c r="W129" s="20" t="n"/>
      <c r="X129" s="20" t="n"/>
      <c r="Y129" s="20" t="n"/>
      <c r="Z129" s="20" t="n"/>
      <c r="AA129" s="20" t="n"/>
      <c r="AB129" s="20" t="n"/>
      <c r="AC129" s="21">
        <f>IF(W129="","",W129-K129)</f>
        <v/>
      </c>
      <c r="AD129" s="21">
        <f>IF(X129="","",X129-L129)</f>
        <v/>
      </c>
      <c r="AE129" s="21">
        <f>IF(Y129="","",Y129-M129)</f>
        <v/>
      </c>
      <c r="AF129" s="21">
        <f>IF(Z129="","",Z129-N129)</f>
        <v/>
      </c>
      <c r="AG129" s="21">
        <f>IF(AA129="","",AA129-O129)</f>
        <v/>
      </c>
      <c r="AH129" s="21">
        <f>IF(AB129="","",AB129-P129)</f>
        <v/>
      </c>
      <c r="AI129" s="18">
        <f>IF(COUNTA(W129:AB129)=0,"未入力",IF(COUNTA(W129:AB129)&lt;6,"一部入力",IF(COUNTIF(AC129:AH129,0)=6,"一致","差分あり")))</f>
        <v/>
      </c>
      <c r="AJ1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29" s="19" t="inlineStr"/>
      <c r="AL129" s="18" t="inlineStr">
        <is>
          <t>2026-06-29</t>
        </is>
      </c>
    </row>
    <row r="130" ht="22" customHeight="1">
      <c r="A130" s="17" t="inlineStr">
        <is>
          <t>1002105-LB4</t>
        </is>
      </c>
      <c r="B130" s="18" t="n">
        <v>1002105</v>
      </c>
      <c r="C130" s="17" t="inlineStr">
        <is>
          <t>EAoi05</t>
        </is>
      </c>
      <c r="D130" s="17" t="inlineStr">
        <is>
          <t>EAoi</t>
        </is>
      </c>
      <c r="E130" s="17" t="inlineStr">
        <is>
          <t>蒼井 えりか</t>
        </is>
      </c>
      <c r="F130" s="19" t="inlineStr">
        <is>
          <t>キララ・究極のアイドル</t>
        </is>
      </c>
      <c r="G130" s="18" t="inlineStr">
        <is>
          <t>SS</t>
        </is>
      </c>
      <c r="H130" s="17" t="inlineStr">
        <is>
          <t>Defender</t>
        </is>
      </c>
      <c r="I130" s="18" t="n">
        <v>4</v>
      </c>
      <c r="J130" s="18" t="n">
        <v>4</v>
      </c>
      <c r="K130" s="18" t="n">
        <v>486</v>
      </c>
      <c r="L130" s="18" t="n">
        <v>478</v>
      </c>
      <c r="M130" s="18" t="n">
        <v>548</v>
      </c>
      <c r="N130" s="18" t="n">
        <v>520</v>
      </c>
      <c r="O130" s="18" t="n">
        <v>459</v>
      </c>
      <c r="P130" s="18" t="n">
        <v>461</v>
      </c>
      <c r="Q130" s="18" t="n">
        <v>49</v>
      </c>
      <c r="R130" s="18" t="n">
        <v>48</v>
      </c>
      <c r="S130" s="18" t="n">
        <v>55</v>
      </c>
      <c r="T130" s="18" t="n">
        <v>52</v>
      </c>
      <c r="U130" s="18" t="n">
        <v>46</v>
      </c>
      <c r="V130" s="18" t="n">
        <v>47</v>
      </c>
      <c r="W130" s="20" t="n"/>
      <c r="X130" s="20" t="n"/>
      <c r="Y130" s="20" t="n"/>
      <c r="Z130" s="20" t="n"/>
      <c r="AA130" s="20" t="n"/>
      <c r="AB130" s="20" t="n"/>
      <c r="AC130" s="21">
        <f>IF(W130="","",W130-K130)</f>
        <v/>
      </c>
      <c r="AD130" s="21">
        <f>IF(X130="","",X130-L130)</f>
        <v/>
      </c>
      <c r="AE130" s="21">
        <f>IF(Y130="","",Y130-M130)</f>
        <v/>
      </c>
      <c r="AF130" s="21">
        <f>IF(Z130="","",Z130-N130)</f>
        <v/>
      </c>
      <c r="AG130" s="21">
        <f>IF(AA130="","",AA130-O130)</f>
        <v/>
      </c>
      <c r="AH130" s="21">
        <f>IF(AB130="","",AB130-P130)</f>
        <v/>
      </c>
      <c r="AI130" s="18">
        <f>IF(COUNTA(W130:AB130)=0,"未入力",IF(COUNTA(W130:AB130)&lt;6,"一部入力",IF(COUNTIF(AC130:AH130,0)=6,"一致","差分あり")))</f>
        <v/>
      </c>
      <c r="AJ1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0" s="19" t="inlineStr"/>
      <c r="AL130" s="18" t="inlineStr">
        <is>
          <t>2026-06-29</t>
        </is>
      </c>
    </row>
    <row r="131" ht="22" customHeight="1">
      <c r="A131" s="17" t="inlineStr">
        <is>
          <t>1002106-LB0</t>
        </is>
      </c>
      <c r="B131" s="18" t="n">
        <v>1002106</v>
      </c>
      <c r="C131" s="17" t="inlineStr">
        <is>
          <t>EAoi06</t>
        </is>
      </c>
      <c r="D131" s="17" t="inlineStr">
        <is>
          <t>EAoi</t>
        </is>
      </c>
      <c r="E131" s="17" t="inlineStr">
        <is>
          <t>蒼井 えりか</t>
        </is>
      </c>
      <c r="F131" s="19" t="inlineStr">
        <is>
          <t>上達の手応え</t>
        </is>
      </c>
      <c r="G131" s="18" t="inlineStr">
        <is>
          <t>S</t>
        </is>
      </c>
      <c r="H131" s="17" t="inlineStr">
        <is>
          <t>Defender</t>
        </is>
      </c>
      <c r="I131" s="18" t="n">
        <v>0</v>
      </c>
      <c r="J131" s="18" t="n">
        <v>10</v>
      </c>
      <c r="K131" s="18" t="n">
        <v>350</v>
      </c>
      <c r="L131" s="18" t="n">
        <v>301</v>
      </c>
      <c r="M131" s="18" t="n">
        <v>322</v>
      </c>
      <c r="N131" s="18" t="n">
        <v>331</v>
      </c>
      <c r="O131" s="18" t="n">
        <v>308</v>
      </c>
      <c r="P131" s="18" t="n">
        <v>357</v>
      </c>
      <c r="Q131" s="18" t="n">
        <v>35</v>
      </c>
      <c r="R131" s="18" t="n">
        <v>31</v>
      </c>
      <c r="S131" s="18" t="n">
        <v>33</v>
      </c>
      <c r="T131" s="18" t="n">
        <v>34</v>
      </c>
      <c r="U131" s="18" t="n">
        <v>31</v>
      </c>
      <c r="V131" s="18" t="n">
        <v>36</v>
      </c>
      <c r="W131" s="20" t="n"/>
      <c r="X131" s="20" t="n"/>
      <c r="Y131" s="20" t="n"/>
      <c r="Z131" s="20" t="n"/>
      <c r="AA131" s="20" t="n"/>
      <c r="AB131" s="20" t="n"/>
      <c r="AC131" s="21">
        <f>IF(W131="","",W131-K131)</f>
        <v/>
      </c>
      <c r="AD131" s="21">
        <f>IF(X131="","",X131-L131)</f>
        <v/>
      </c>
      <c r="AE131" s="21">
        <f>IF(Y131="","",Y131-M131)</f>
        <v/>
      </c>
      <c r="AF131" s="21">
        <f>IF(Z131="","",Z131-N131)</f>
        <v/>
      </c>
      <c r="AG131" s="21">
        <f>IF(AA131="","",AA131-O131)</f>
        <v/>
      </c>
      <c r="AH131" s="21">
        <f>IF(AB131="","",AB131-P131)</f>
        <v/>
      </c>
      <c r="AI131" s="18">
        <f>IF(COUNTA(W131:AB131)=0,"未入力",IF(COUNTA(W131:AB131)&lt;6,"一部入力",IF(COUNTIF(AC131:AH131,0)=6,"一致","差分あり")))</f>
        <v/>
      </c>
      <c r="AJ1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1" s="19" t="inlineStr"/>
      <c r="AL131" s="18" t="inlineStr">
        <is>
          <t>2026-06-29</t>
        </is>
      </c>
    </row>
    <row r="132" ht="22" customHeight="1">
      <c r="A132" s="17" t="inlineStr">
        <is>
          <t>1002106-LB10</t>
        </is>
      </c>
      <c r="B132" s="18" t="n">
        <v>1002106</v>
      </c>
      <c r="C132" s="17" t="inlineStr">
        <is>
          <t>EAoi06</t>
        </is>
      </c>
      <c r="D132" s="17" t="inlineStr">
        <is>
          <t>EAoi</t>
        </is>
      </c>
      <c r="E132" s="17" t="inlineStr">
        <is>
          <t>蒼井 えりか</t>
        </is>
      </c>
      <c r="F132" s="19" t="inlineStr">
        <is>
          <t>上達の手応え</t>
        </is>
      </c>
      <c r="G132" s="18" t="inlineStr">
        <is>
          <t>S</t>
        </is>
      </c>
      <c r="H132" s="17" t="inlineStr">
        <is>
          <t>Defender</t>
        </is>
      </c>
      <c r="I132" s="18" t="n">
        <v>10</v>
      </c>
      <c r="J132" s="18" t="n">
        <v>10</v>
      </c>
      <c r="K132" s="18" t="n">
        <v>416</v>
      </c>
      <c r="L132" s="18" t="n">
        <v>365</v>
      </c>
      <c r="M132" s="18" t="n">
        <v>391</v>
      </c>
      <c r="N132" s="18" t="n">
        <v>399</v>
      </c>
      <c r="O132" s="18" t="n">
        <v>371</v>
      </c>
      <c r="P132" s="18" t="n">
        <v>425</v>
      </c>
      <c r="Q132" s="18" t="n">
        <v>42</v>
      </c>
      <c r="R132" s="18" t="n">
        <v>37</v>
      </c>
      <c r="S132" s="18" t="n">
        <v>40</v>
      </c>
      <c r="T132" s="18" t="n">
        <v>40</v>
      </c>
      <c r="U132" s="18" t="n">
        <v>38</v>
      </c>
      <c r="V132" s="18" t="n">
        <v>43</v>
      </c>
      <c r="W132" s="20" t="n"/>
      <c r="X132" s="20" t="n"/>
      <c r="Y132" s="20" t="n"/>
      <c r="Z132" s="20" t="n"/>
      <c r="AA132" s="20" t="n"/>
      <c r="AB132" s="20" t="n"/>
      <c r="AC132" s="21">
        <f>IF(W132="","",W132-K132)</f>
        <v/>
      </c>
      <c r="AD132" s="21">
        <f>IF(X132="","",X132-L132)</f>
        <v/>
      </c>
      <c r="AE132" s="21">
        <f>IF(Y132="","",Y132-M132)</f>
        <v/>
      </c>
      <c r="AF132" s="21">
        <f>IF(Z132="","",Z132-N132)</f>
        <v/>
      </c>
      <c r="AG132" s="21">
        <f>IF(AA132="","",AA132-O132)</f>
        <v/>
      </c>
      <c r="AH132" s="21">
        <f>IF(AB132="","",AB132-P132)</f>
        <v/>
      </c>
      <c r="AI132" s="18">
        <f>IF(COUNTA(W132:AB132)=0,"未入力",IF(COUNTA(W132:AB132)&lt;6,"一部入力",IF(COUNTIF(AC132:AH132,0)=6,"一致","差分あり")))</f>
        <v/>
      </c>
      <c r="AJ1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2" s="19" t="inlineStr"/>
      <c r="AL132" s="18" t="inlineStr">
        <is>
          <t>2026-06-29</t>
        </is>
      </c>
    </row>
    <row r="133" ht="22" customHeight="1">
      <c r="A133" s="17" t="inlineStr">
        <is>
          <t>1002107-LB0</t>
        </is>
      </c>
      <c r="B133" s="18" t="n">
        <v>1002107</v>
      </c>
      <c r="C133" s="17" t="inlineStr">
        <is>
          <t>EAoi07</t>
        </is>
      </c>
      <c r="D133" s="17" t="inlineStr">
        <is>
          <t>EAoi</t>
        </is>
      </c>
      <c r="E133" s="17" t="inlineStr">
        <is>
          <t>蒼井 えりか</t>
        </is>
      </c>
      <c r="F133" s="19" t="inlineStr">
        <is>
          <t>ヒビケ・Battlecry</t>
        </is>
      </c>
      <c r="G133" s="18" t="inlineStr">
        <is>
          <t>SS</t>
        </is>
      </c>
      <c r="H133" s="17" t="inlineStr">
        <is>
          <t>Admiral</t>
        </is>
      </c>
      <c r="I133" s="18" t="n">
        <v>0</v>
      </c>
      <c r="J133" s="18" t="n">
        <v>4</v>
      </c>
      <c r="K133" s="18" t="n">
        <v>399</v>
      </c>
      <c r="L133" s="18" t="n">
        <v>392</v>
      </c>
      <c r="M133" s="18" t="n">
        <v>455</v>
      </c>
      <c r="N133" s="18" t="n">
        <v>429</v>
      </c>
      <c r="O133" s="18" t="n">
        <v>375</v>
      </c>
      <c r="P133" s="18" t="n">
        <v>371</v>
      </c>
      <c r="Q133" s="18" t="n">
        <v>40</v>
      </c>
      <c r="R133" s="18" t="n">
        <v>40</v>
      </c>
      <c r="S133" s="18" t="n">
        <v>46</v>
      </c>
      <c r="T133" s="18" t="n">
        <v>43</v>
      </c>
      <c r="U133" s="18" t="n">
        <v>38</v>
      </c>
      <c r="V133" s="18" t="n">
        <v>38</v>
      </c>
      <c r="W133" s="20" t="n"/>
      <c r="X133" s="20" t="n"/>
      <c r="Y133" s="20" t="n"/>
      <c r="Z133" s="20" t="n"/>
      <c r="AA133" s="20" t="n"/>
      <c r="AB133" s="20" t="n"/>
      <c r="AC133" s="21">
        <f>IF(W133="","",W133-K133)</f>
        <v/>
      </c>
      <c r="AD133" s="21">
        <f>IF(X133="","",X133-L133)</f>
        <v/>
      </c>
      <c r="AE133" s="21">
        <f>IF(Y133="","",Y133-M133)</f>
        <v/>
      </c>
      <c r="AF133" s="21">
        <f>IF(Z133="","",Z133-N133)</f>
        <v/>
      </c>
      <c r="AG133" s="21">
        <f>IF(AA133="","",AA133-O133)</f>
        <v/>
      </c>
      <c r="AH133" s="21">
        <f>IF(AB133="","",AB133-P133)</f>
        <v/>
      </c>
      <c r="AI133" s="18">
        <f>IF(COUNTA(W133:AB133)=0,"未入力",IF(COUNTA(W133:AB133)&lt;6,"一部入力",IF(COUNTIF(AC133:AH133,0)=6,"一致","差分あり")))</f>
        <v/>
      </c>
      <c r="AJ1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3" s="19" t="inlineStr"/>
      <c r="AL133" s="18" t="inlineStr">
        <is>
          <t>2026-06-29</t>
        </is>
      </c>
    </row>
    <row r="134" ht="22" customHeight="1">
      <c r="A134" s="17" t="inlineStr">
        <is>
          <t>1002107-LB4</t>
        </is>
      </c>
      <c r="B134" s="18" t="n">
        <v>1002107</v>
      </c>
      <c r="C134" s="17" t="inlineStr">
        <is>
          <t>EAoi07</t>
        </is>
      </c>
      <c r="D134" s="17" t="inlineStr">
        <is>
          <t>EAoi</t>
        </is>
      </c>
      <c r="E134" s="17" t="inlineStr">
        <is>
          <t>蒼井 えりか</t>
        </is>
      </c>
      <c r="F134" s="19" t="inlineStr">
        <is>
          <t>ヒビケ・Battlecry</t>
        </is>
      </c>
      <c r="G134" s="18" t="inlineStr">
        <is>
          <t>SS</t>
        </is>
      </c>
      <c r="H134" s="17" t="inlineStr">
        <is>
          <t>Admiral</t>
        </is>
      </c>
      <c r="I134" s="18" t="n">
        <v>4</v>
      </c>
      <c r="J134" s="18" t="n">
        <v>4</v>
      </c>
      <c r="K134" s="18" t="n">
        <v>486</v>
      </c>
      <c r="L134" s="18" t="n">
        <v>478</v>
      </c>
      <c r="M134" s="18" t="n">
        <v>548</v>
      </c>
      <c r="N134" s="18" t="n">
        <v>520</v>
      </c>
      <c r="O134" s="18" t="n">
        <v>459</v>
      </c>
      <c r="P134" s="18" t="n">
        <v>461</v>
      </c>
      <c r="Q134" s="18" t="n">
        <v>49</v>
      </c>
      <c r="R134" s="18" t="n">
        <v>48</v>
      </c>
      <c r="S134" s="18" t="n">
        <v>55</v>
      </c>
      <c r="T134" s="18" t="n">
        <v>52</v>
      </c>
      <c r="U134" s="18" t="n">
        <v>46</v>
      </c>
      <c r="V134" s="18" t="n">
        <v>47</v>
      </c>
      <c r="W134" s="20" t="n"/>
      <c r="X134" s="20" t="n"/>
      <c r="Y134" s="20" t="n"/>
      <c r="Z134" s="20" t="n"/>
      <c r="AA134" s="20" t="n"/>
      <c r="AB134" s="20" t="n"/>
      <c r="AC134" s="21">
        <f>IF(W134="","",W134-K134)</f>
        <v/>
      </c>
      <c r="AD134" s="21">
        <f>IF(X134="","",X134-L134)</f>
        <v/>
      </c>
      <c r="AE134" s="21">
        <f>IF(Y134="","",Y134-M134)</f>
        <v/>
      </c>
      <c r="AF134" s="21">
        <f>IF(Z134="","",Z134-N134)</f>
        <v/>
      </c>
      <c r="AG134" s="21">
        <f>IF(AA134="","",AA134-O134)</f>
        <v/>
      </c>
      <c r="AH134" s="21">
        <f>IF(AB134="","",AB134-P134)</f>
        <v/>
      </c>
      <c r="AI134" s="18">
        <f>IF(COUNTA(W134:AB134)=0,"未入力",IF(COUNTA(W134:AB134)&lt;6,"一部入力",IF(COUNTIF(AC134:AH134,0)=6,"一致","差分あり")))</f>
        <v/>
      </c>
      <c r="AJ1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4" s="19" t="inlineStr"/>
      <c r="AL134" s="18" t="inlineStr">
        <is>
          <t>2026-06-29</t>
        </is>
      </c>
    </row>
    <row r="135" ht="22" customHeight="1">
      <c r="A135" s="17" t="inlineStr">
        <is>
          <t>1002108-LB0</t>
        </is>
      </c>
      <c r="B135" s="18" t="n">
        <v>1002108</v>
      </c>
      <c r="C135" s="17" t="inlineStr">
        <is>
          <t>EAoi08</t>
        </is>
      </c>
      <c r="D135" s="17" t="inlineStr">
        <is>
          <t>EAoi</t>
        </is>
      </c>
      <c r="E135" s="17" t="inlineStr">
        <is>
          <t>蒼井 えりか</t>
        </is>
      </c>
      <c r="F135" s="19" t="inlineStr">
        <is>
          <t>ヒカル・Mermaid Vacation</t>
        </is>
      </c>
      <c r="G135" s="18" t="inlineStr">
        <is>
          <t>SSR</t>
        </is>
      </c>
      <c r="H135" s="17" t="inlineStr">
        <is>
          <t>Debuffer</t>
        </is>
      </c>
      <c r="I135" s="18" t="n">
        <v>0</v>
      </c>
      <c r="J135" s="18" t="n">
        <v>4</v>
      </c>
      <c r="K135" s="18" t="n">
        <v>399</v>
      </c>
      <c r="L135" s="18" t="n">
        <v>392</v>
      </c>
      <c r="M135" s="18" t="n">
        <v>455</v>
      </c>
      <c r="N135" s="18" t="n">
        <v>429</v>
      </c>
      <c r="O135" s="18" t="n">
        <v>375</v>
      </c>
      <c r="P135" s="18" t="n">
        <v>371</v>
      </c>
      <c r="Q135" s="18" t="n">
        <v>40</v>
      </c>
      <c r="R135" s="18" t="n">
        <v>40</v>
      </c>
      <c r="S135" s="18" t="n">
        <v>46</v>
      </c>
      <c r="T135" s="18" t="n">
        <v>43</v>
      </c>
      <c r="U135" s="18" t="n">
        <v>38</v>
      </c>
      <c r="V135" s="18" t="n">
        <v>38</v>
      </c>
      <c r="W135" s="20" t="n"/>
      <c r="X135" s="20" t="n"/>
      <c r="Y135" s="20" t="n"/>
      <c r="Z135" s="20" t="n"/>
      <c r="AA135" s="20" t="n"/>
      <c r="AB135" s="20" t="n"/>
      <c r="AC135" s="21">
        <f>IF(W135="","",W135-K135)</f>
        <v/>
      </c>
      <c r="AD135" s="21">
        <f>IF(X135="","",X135-L135)</f>
        <v/>
      </c>
      <c r="AE135" s="21">
        <f>IF(Y135="","",Y135-M135)</f>
        <v/>
      </c>
      <c r="AF135" s="21">
        <f>IF(Z135="","",Z135-N135)</f>
        <v/>
      </c>
      <c r="AG135" s="21">
        <f>IF(AA135="","",AA135-O135)</f>
        <v/>
      </c>
      <c r="AH135" s="21">
        <f>IF(AB135="","",AB135-P135)</f>
        <v/>
      </c>
      <c r="AI135" s="18">
        <f>IF(COUNTA(W135:AB135)=0,"未入力",IF(COUNTA(W135:AB135)&lt;6,"一部入力",IF(COUNTIF(AC135:AH135,0)=6,"一致","差分あり")))</f>
        <v/>
      </c>
      <c r="AJ1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5" s="19" t="inlineStr"/>
      <c r="AL135" s="18" t="inlineStr">
        <is>
          <t>2026-06-29</t>
        </is>
      </c>
    </row>
    <row r="136" ht="22" customHeight="1">
      <c r="A136" s="17" t="inlineStr">
        <is>
          <t>1002108-LB4</t>
        </is>
      </c>
      <c r="B136" s="18" t="n">
        <v>1002108</v>
      </c>
      <c r="C136" s="17" t="inlineStr">
        <is>
          <t>EAoi08</t>
        </is>
      </c>
      <c r="D136" s="17" t="inlineStr">
        <is>
          <t>EAoi</t>
        </is>
      </c>
      <c r="E136" s="17" t="inlineStr">
        <is>
          <t>蒼井 えりか</t>
        </is>
      </c>
      <c r="F136" s="19" t="inlineStr">
        <is>
          <t>ヒカル・Mermaid Vacation</t>
        </is>
      </c>
      <c r="G136" s="18" t="inlineStr">
        <is>
          <t>SSR</t>
        </is>
      </c>
      <c r="H136" s="17" t="inlineStr">
        <is>
          <t>Debuffer</t>
        </is>
      </c>
      <c r="I136" s="18" t="n">
        <v>4</v>
      </c>
      <c r="J136" s="18" t="n">
        <v>4</v>
      </c>
      <c r="K136" s="18" t="n">
        <v>486</v>
      </c>
      <c r="L136" s="18" t="n">
        <v>478</v>
      </c>
      <c r="M136" s="18" t="n">
        <v>548</v>
      </c>
      <c r="N136" s="18" t="n">
        <v>520</v>
      </c>
      <c r="O136" s="18" t="n">
        <v>459</v>
      </c>
      <c r="P136" s="18" t="n">
        <v>461</v>
      </c>
      <c r="Q136" s="18" t="n">
        <v>49</v>
      </c>
      <c r="R136" s="18" t="n">
        <v>48</v>
      </c>
      <c r="S136" s="18" t="n">
        <v>55</v>
      </c>
      <c r="T136" s="18" t="n">
        <v>52</v>
      </c>
      <c r="U136" s="18" t="n">
        <v>46</v>
      </c>
      <c r="V136" s="18" t="n">
        <v>47</v>
      </c>
      <c r="W136" s="20" t="n"/>
      <c r="X136" s="20" t="n"/>
      <c r="Y136" s="20" t="n"/>
      <c r="Z136" s="20" t="n"/>
      <c r="AA136" s="20" t="n"/>
      <c r="AB136" s="20" t="n"/>
      <c r="AC136" s="21">
        <f>IF(W136="","",W136-K136)</f>
        <v/>
      </c>
      <c r="AD136" s="21">
        <f>IF(X136="","",X136-L136)</f>
        <v/>
      </c>
      <c r="AE136" s="21">
        <f>IF(Y136="","",Y136-M136)</f>
        <v/>
      </c>
      <c r="AF136" s="21">
        <f>IF(Z136="","",Z136-N136)</f>
        <v/>
      </c>
      <c r="AG136" s="21">
        <f>IF(AA136="","",AA136-O136)</f>
        <v/>
      </c>
      <c r="AH136" s="21">
        <f>IF(AB136="","",AB136-P136)</f>
        <v/>
      </c>
      <c r="AI136" s="18">
        <f>IF(COUNTA(W136:AB136)=0,"未入力",IF(COUNTA(W136:AB136)&lt;6,"一部入力",IF(COUNTIF(AC136:AH136,0)=6,"一致","差分あり")))</f>
        <v/>
      </c>
      <c r="AJ1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6" s="19" t="inlineStr"/>
      <c r="AL136" s="18" t="inlineStr">
        <is>
          <t>2026-06-29</t>
        </is>
      </c>
    </row>
    <row r="137" ht="22" customHeight="1">
      <c r="A137" s="17" t="inlineStr">
        <is>
          <t>1002109-LB0</t>
        </is>
      </c>
      <c r="B137" s="18" t="n">
        <v>1002109</v>
      </c>
      <c r="C137" s="17" t="inlineStr">
        <is>
          <t>EAoi09</t>
        </is>
      </c>
      <c r="D137" s="17" t="inlineStr">
        <is>
          <t>EAoi</t>
        </is>
      </c>
      <c r="E137" s="17" t="inlineStr">
        <is>
          <t>蒼井 えりか</t>
        </is>
      </c>
      <c r="F137" s="19" t="inlineStr">
        <is>
          <t>ツナグ・Legacy</t>
        </is>
      </c>
      <c r="G137" s="18" t="inlineStr">
        <is>
          <t>SSR</t>
        </is>
      </c>
      <c r="H137" s="17" t="inlineStr">
        <is>
          <t>Healer</t>
        </is>
      </c>
      <c r="I137" s="18" t="n">
        <v>0</v>
      </c>
      <c r="J137" s="18" t="n">
        <v>4</v>
      </c>
      <c r="K137" s="18" t="n">
        <v>399</v>
      </c>
      <c r="L137" s="18" t="n">
        <v>392</v>
      </c>
      <c r="M137" s="18" t="n">
        <v>455</v>
      </c>
      <c r="N137" s="18" t="n">
        <v>429</v>
      </c>
      <c r="O137" s="18" t="n">
        <v>375</v>
      </c>
      <c r="P137" s="18" t="n">
        <v>371</v>
      </c>
      <c r="Q137" s="18" t="n">
        <v>40</v>
      </c>
      <c r="R137" s="18" t="n">
        <v>40</v>
      </c>
      <c r="S137" s="18" t="n">
        <v>46</v>
      </c>
      <c r="T137" s="18" t="n">
        <v>43</v>
      </c>
      <c r="U137" s="18" t="n">
        <v>38</v>
      </c>
      <c r="V137" s="18" t="n">
        <v>38</v>
      </c>
      <c r="W137" s="20" t="n"/>
      <c r="X137" s="20" t="n"/>
      <c r="Y137" s="20" t="n"/>
      <c r="Z137" s="20" t="n"/>
      <c r="AA137" s="20" t="n"/>
      <c r="AB137" s="20" t="n"/>
      <c r="AC137" s="21">
        <f>IF(W137="","",W137-K137)</f>
        <v/>
      </c>
      <c r="AD137" s="21">
        <f>IF(X137="","",X137-L137)</f>
        <v/>
      </c>
      <c r="AE137" s="21">
        <f>IF(Y137="","",Y137-M137)</f>
        <v/>
      </c>
      <c r="AF137" s="21">
        <f>IF(Z137="","",Z137-N137)</f>
        <v/>
      </c>
      <c r="AG137" s="21">
        <f>IF(AA137="","",AA137-O137)</f>
        <v/>
      </c>
      <c r="AH137" s="21">
        <f>IF(AB137="","",AB137-P137)</f>
        <v/>
      </c>
      <c r="AI137" s="18">
        <f>IF(COUNTA(W137:AB137)=0,"未入力",IF(COUNTA(W137:AB137)&lt;6,"一部入力",IF(COUNTIF(AC137:AH137,0)=6,"一致","差分あり")))</f>
        <v/>
      </c>
      <c r="AJ1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7" s="19" t="inlineStr"/>
      <c r="AL137" s="18" t="inlineStr">
        <is>
          <t>2026-06-29</t>
        </is>
      </c>
    </row>
    <row r="138" ht="22" customHeight="1">
      <c r="A138" s="17" t="inlineStr">
        <is>
          <t>1002109-LB4</t>
        </is>
      </c>
      <c r="B138" s="18" t="n">
        <v>1002109</v>
      </c>
      <c r="C138" s="17" t="inlineStr">
        <is>
          <t>EAoi09</t>
        </is>
      </c>
      <c r="D138" s="17" t="inlineStr">
        <is>
          <t>EAoi</t>
        </is>
      </c>
      <c r="E138" s="17" t="inlineStr">
        <is>
          <t>蒼井 えりか</t>
        </is>
      </c>
      <c r="F138" s="19" t="inlineStr">
        <is>
          <t>ツナグ・Legacy</t>
        </is>
      </c>
      <c r="G138" s="18" t="inlineStr">
        <is>
          <t>SSR</t>
        </is>
      </c>
      <c r="H138" s="17" t="inlineStr">
        <is>
          <t>Healer</t>
        </is>
      </c>
      <c r="I138" s="18" t="n">
        <v>4</v>
      </c>
      <c r="J138" s="18" t="n">
        <v>4</v>
      </c>
      <c r="K138" s="18" t="n">
        <v>486</v>
      </c>
      <c r="L138" s="18" t="n">
        <v>478</v>
      </c>
      <c r="M138" s="18" t="n">
        <v>548</v>
      </c>
      <c r="N138" s="18" t="n">
        <v>520</v>
      </c>
      <c r="O138" s="18" t="n">
        <v>459</v>
      </c>
      <c r="P138" s="18" t="n">
        <v>461</v>
      </c>
      <c r="Q138" s="18" t="n">
        <v>49</v>
      </c>
      <c r="R138" s="18" t="n">
        <v>48</v>
      </c>
      <c r="S138" s="18" t="n">
        <v>55</v>
      </c>
      <c r="T138" s="18" t="n">
        <v>52</v>
      </c>
      <c r="U138" s="18" t="n">
        <v>46</v>
      </c>
      <c r="V138" s="18" t="n">
        <v>47</v>
      </c>
      <c r="W138" s="20" t="n"/>
      <c r="X138" s="20" t="n"/>
      <c r="Y138" s="20" t="n"/>
      <c r="Z138" s="20" t="n"/>
      <c r="AA138" s="20" t="n"/>
      <c r="AB138" s="20" t="n"/>
      <c r="AC138" s="21">
        <f>IF(W138="","",W138-K138)</f>
        <v/>
      </c>
      <c r="AD138" s="21">
        <f>IF(X138="","",X138-L138)</f>
        <v/>
      </c>
      <c r="AE138" s="21">
        <f>IF(Y138="","",Y138-M138)</f>
        <v/>
      </c>
      <c r="AF138" s="21">
        <f>IF(Z138="","",Z138-N138)</f>
        <v/>
      </c>
      <c r="AG138" s="21">
        <f>IF(AA138="","",AA138-O138)</f>
        <v/>
      </c>
      <c r="AH138" s="21">
        <f>IF(AB138="","",AB138-P138)</f>
        <v/>
      </c>
      <c r="AI138" s="18">
        <f>IF(COUNTA(W138:AB138)=0,"未入力",IF(COUNTA(W138:AB138)&lt;6,"一部入力",IF(COUNTIF(AC138:AH138,0)=6,"一致","差分あり")))</f>
        <v/>
      </c>
      <c r="AJ1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8" s="19" t="inlineStr"/>
      <c r="AL138" s="18" t="inlineStr">
        <is>
          <t>2026-06-29</t>
        </is>
      </c>
    </row>
    <row r="139" ht="22" customHeight="1">
      <c r="A139" s="17" t="inlineStr">
        <is>
          <t>1002201-LB0</t>
        </is>
      </c>
      <c r="B139" s="18" t="n">
        <v>1002201</v>
      </c>
      <c r="C139" s="17" t="inlineStr">
        <is>
          <t>IMinase01</t>
        </is>
      </c>
      <c r="D139" s="17" t="inlineStr">
        <is>
          <t>IMinase</t>
        </is>
      </c>
      <c r="E139" s="17" t="inlineStr">
        <is>
          <t>水瀬 いちご</t>
        </is>
      </c>
      <c r="F139" s="19" t="inlineStr">
        <is>
          <t>戦場の華火</t>
        </is>
      </c>
      <c r="G139" s="18" t="inlineStr">
        <is>
          <t>A</t>
        </is>
      </c>
      <c r="H139" s="17" t="inlineStr">
        <is>
          <t>Attacker</t>
        </is>
      </c>
      <c r="I139" s="18" t="n">
        <v>0</v>
      </c>
      <c r="J139" s="18" t="n">
        <v>20</v>
      </c>
      <c r="K139" s="18" t="n">
        <v>288</v>
      </c>
      <c r="L139" s="18" t="n">
        <v>279</v>
      </c>
      <c r="M139" s="18" t="n">
        <v>286</v>
      </c>
      <c r="N139" s="18" t="n">
        <v>289</v>
      </c>
      <c r="O139" s="18" t="n">
        <v>245</v>
      </c>
      <c r="P139" s="18" t="n">
        <v>247</v>
      </c>
      <c r="Q139" s="18" t="n">
        <v>29</v>
      </c>
      <c r="R139" s="18" t="n">
        <v>28</v>
      </c>
      <c r="S139" s="18" t="n">
        <v>29</v>
      </c>
      <c r="T139" s="18" t="n">
        <v>29</v>
      </c>
      <c r="U139" s="18" t="n">
        <v>25</v>
      </c>
      <c r="V139" s="18" t="n">
        <v>25</v>
      </c>
      <c r="W139" s="20" t="n"/>
      <c r="X139" s="20" t="n"/>
      <c r="Y139" s="20" t="n"/>
      <c r="Z139" s="20" t="n"/>
      <c r="AA139" s="20" t="n"/>
      <c r="AB139" s="20" t="n"/>
      <c r="AC139" s="21">
        <f>IF(W139="","",W139-K139)</f>
        <v/>
      </c>
      <c r="AD139" s="21">
        <f>IF(X139="","",X139-L139)</f>
        <v/>
      </c>
      <c r="AE139" s="21">
        <f>IF(Y139="","",Y139-M139)</f>
        <v/>
      </c>
      <c r="AF139" s="21">
        <f>IF(Z139="","",Z139-N139)</f>
        <v/>
      </c>
      <c r="AG139" s="21">
        <f>IF(AA139="","",AA139-O139)</f>
        <v/>
      </c>
      <c r="AH139" s="21">
        <f>IF(AB139="","",AB139-P139)</f>
        <v/>
      </c>
      <c r="AI139" s="18">
        <f>IF(COUNTA(W139:AB139)=0,"未入力",IF(COUNTA(W139:AB139)&lt;6,"一部入力",IF(COUNTIF(AC139:AH139,0)=6,"一致","差分あり")))</f>
        <v/>
      </c>
      <c r="AJ1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39" s="19" t="inlineStr"/>
      <c r="AL139" s="18" t="inlineStr">
        <is>
          <t>2026-06-29</t>
        </is>
      </c>
    </row>
    <row r="140" ht="22" customHeight="1">
      <c r="A140" s="17" t="inlineStr">
        <is>
          <t>1002201-LB20</t>
        </is>
      </c>
      <c r="B140" s="18" t="n">
        <v>1002201</v>
      </c>
      <c r="C140" s="17" t="inlineStr">
        <is>
          <t>IMinase01</t>
        </is>
      </c>
      <c r="D140" s="17" t="inlineStr">
        <is>
          <t>IMinase</t>
        </is>
      </c>
      <c r="E140" s="17" t="inlineStr">
        <is>
          <t>水瀬 いちご</t>
        </is>
      </c>
      <c r="F140" s="19" t="inlineStr">
        <is>
          <t>戦場の華火</t>
        </is>
      </c>
      <c r="G140" s="18" t="inlineStr">
        <is>
          <t>A</t>
        </is>
      </c>
      <c r="H140" s="17" t="inlineStr">
        <is>
          <t>Attacker</t>
        </is>
      </c>
      <c r="I140" s="18" t="n">
        <v>20</v>
      </c>
      <c r="J140" s="18" t="n">
        <v>20</v>
      </c>
      <c r="K140" s="18" t="n">
        <v>333</v>
      </c>
      <c r="L140" s="18" t="n">
        <v>323</v>
      </c>
      <c r="M140" s="18" t="n">
        <v>331</v>
      </c>
      <c r="N140" s="18" t="n">
        <v>332</v>
      </c>
      <c r="O140" s="18" t="n">
        <v>289</v>
      </c>
      <c r="P140" s="18" t="n">
        <v>291</v>
      </c>
      <c r="Q140" s="18" t="n">
        <v>34</v>
      </c>
      <c r="R140" s="18" t="n">
        <v>33</v>
      </c>
      <c r="S140" s="18" t="n">
        <v>34</v>
      </c>
      <c r="T140" s="18" t="n">
        <v>34</v>
      </c>
      <c r="U140" s="18" t="n">
        <v>29</v>
      </c>
      <c r="V140" s="18" t="n">
        <v>30</v>
      </c>
      <c r="W140" s="20" t="n"/>
      <c r="X140" s="20" t="n"/>
      <c r="Y140" s="20" t="n"/>
      <c r="Z140" s="20" t="n"/>
      <c r="AA140" s="20" t="n"/>
      <c r="AB140" s="20" t="n"/>
      <c r="AC140" s="21">
        <f>IF(W140="","",W140-K140)</f>
        <v/>
      </c>
      <c r="AD140" s="21">
        <f>IF(X140="","",X140-L140)</f>
        <v/>
      </c>
      <c r="AE140" s="21">
        <f>IF(Y140="","",Y140-M140)</f>
        <v/>
      </c>
      <c r="AF140" s="21">
        <f>IF(Z140="","",Z140-N140)</f>
        <v/>
      </c>
      <c r="AG140" s="21">
        <f>IF(AA140="","",AA140-O140)</f>
        <v/>
      </c>
      <c r="AH140" s="21">
        <f>IF(AB140="","",AB140-P140)</f>
        <v/>
      </c>
      <c r="AI140" s="18">
        <f>IF(COUNTA(W140:AB140)=0,"未入力",IF(COUNTA(W140:AB140)&lt;6,"一部入力",IF(COUNTIF(AC140:AH140,0)=6,"一致","差分あり")))</f>
        <v/>
      </c>
      <c r="AJ1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0" s="19" t="inlineStr"/>
      <c r="AL140" s="18" t="inlineStr">
        <is>
          <t>2026-06-29</t>
        </is>
      </c>
    </row>
    <row r="141" ht="22" customHeight="1">
      <c r="A141" s="17" t="inlineStr">
        <is>
          <t>1002202-LB0</t>
        </is>
      </c>
      <c r="B141" s="18" t="n">
        <v>1002202</v>
      </c>
      <c r="C141" s="17" t="inlineStr">
        <is>
          <t>IMinase02</t>
        </is>
      </c>
      <c r="D141" s="17" t="inlineStr">
        <is>
          <t>IMinase</t>
        </is>
      </c>
      <c r="E141" s="17" t="inlineStr">
        <is>
          <t>水瀬 いちご</t>
        </is>
      </c>
      <c r="F141" s="19" t="inlineStr">
        <is>
          <t>あなたのために</t>
        </is>
      </c>
      <c r="G141" s="18" t="inlineStr">
        <is>
          <t>S</t>
        </is>
      </c>
      <c r="H141" s="17" t="inlineStr">
        <is>
          <t>Attacker</t>
        </is>
      </c>
      <c r="I141" s="18" t="n">
        <v>0</v>
      </c>
      <c r="J141" s="18" t="n">
        <v>10</v>
      </c>
      <c r="K141" s="18" t="n">
        <v>315</v>
      </c>
      <c r="L141" s="18" t="n">
        <v>350</v>
      </c>
      <c r="M141" s="18" t="n">
        <v>314</v>
      </c>
      <c r="N141" s="18" t="n">
        <v>305</v>
      </c>
      <c r="O141" s="18" t="n">
        <v>348</v>
      </c>
      <c r="P141" s="18" t="n">
        <v>318</v>
      </c>
      <c r="Q141" s="18" t="n">
        <v>32</v>
      </c>
      <c r="R141" s="18" t="n">
        <v>35</v>
      </c>
      <c r="S141" s="18" t="n">
        <v>32</v>
      </c>
      <c r="T141" s="18" t="n">
        <v>31</v>
      </c>
      <c r="U141" s="18" t="n">
        <v>35</v>
      </c>
      <c r="V141" s="18" t="n">
        <v>32</v>
      </c>
      <c r="W141" s="20" t="n"/>
      <c r="X141" s="20" t="n"/>
      <c r="Y141" s="20" t="n"/>
      <c r="Z141" s="20" t="n"/>
      <c r="AA141" s="20" t="n"/>
      <c r="AB141" s="20" t="n"/>
      <c r="AC141" s="21">
        <f>IF(W141="","",W141-K141)</f>
        <v/>
      </c>
      <c r="AD141" s="21">
        <f>IF(X141="","",X141-L141)</f>
        <v/>
      </c>
      <c r="AE141" s="21">
        <f>IF(Y141="","",Y141-M141)</f>
        <v/>
      </c>
      <c r="AF141" s="21">
        <f>IF(Z141="","",Z141-N141)</f>
        <v/>
      </c>
      <c r="AG141" s="21">
        <f>IF(AA141="","",AA141-O141)</f>
        <v/>
      </c>
      <c r="AH141" s="21">
        <f>IF(AB141="","",AB141-P141)</f>
        <v/>
      </c>
      <c r="AI141" s="18">
        <f>IF(COUNTA(W141:AB141)=0,"未入力",IF(COUNTA(W141:AB141)&lt;6,"一部入力",IF(COUNTIF(AC141:AH141,0)=6,"一致","差分あり")))</f>
        <v/>
      </c>
      <c r="AJ1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1" s="19" t="inlineStr"/>
      <c r="AL141" s="18" t="inlineStr">
        <is>
          <t>2026-06-29</t>
        </is>
      </c>
    </row>
    <row r="142" ht="22" customHeight="1">
      <c r="A142" s="17" t="inlineStr">
        <is>
          <t>1002202-LB10</t>
        </is>
      </c>
      <c r="B142" s="18" t="n">
        <v>1002202</v>
      </c>
      <c r="C142" s="17" t="inlineStr">
        <is>
          <t>IMinase02</t>
        </is>
      </c>
      <c r="D142" s="17" t="inlineStr">
        <is>
          <t>IMinase</t>
        </is>
      </c>
      <c r="E142" s="17" t="inlineStr">
        <is>
          <t>水瀬 いちご</t>
        </is>
      </c>
      <c r="F142" s="19" t="inlineStr">
        <is>
          <t>あなたのために</t>
        </is>
      </c>
      <c r="G142" s="18" t="inlineStr">
        <is>
          <t>S</t>
        </is>
      </c>
      <c r="H142" s="17" t="inlineStr">
        <is>
          <t>Attacker</t>
        </is>
      </c>
      <c r="I142" s="18" t="n">
        <v>10</v>
      </c>
      <c r="J142" s="18" t="n">
        <v>10</v>
      </c>
      <c r="K142" s="18" t="n">
        <v>383</v>
      </c>
      <c r="L142" s="18" t="n">
        <v>416</v>
      </c>
      <c r="M142" s="18" t="n">
        <v>380</v>
      </c>
      <c r="N142" s="18" t="n">
        <v>370</v>
      </c>
      <c r="O142" s="18" t="n">
        <v>414</v>
      </c>
      <c r="P142" s="18" t="n">
        <v>384</v>
      </c>
      <c r="Q142" s="18" t="n">
        <v>39</v>
      </c>
      <c r="R142" s="18" t="n">
        <v>42</v>
      </c>
      <c r="S142" s="18" t="n">
        <v>38</v>
      </c>
      <c r="T142" s="18" t="n">
        <v>37</v>
      </c>
      <c r="U142" s="18" t="n">
        <v>42</v>
      </c>
      <c r="V142" s="18" t="n">
        <v>39</v>
      </c>
      <c r="W142" s="20" t="n"/>
      <c r="X142" s="20" t="n"/>
      <c r="Y142" s="20" t="n"/>
      <c r="Z142" s="20" t="n"/>
      <c r="AA142" s="20" t="n"/>
      <c r="AB142" s="20" t="n"/>
      <c r="AC142" s="21">
        <f>IF(W142="","",W142-K142)</f>
        <v/>
      </c>
      <c r="AD142" s="21">
        <f>IF(X142="","",X142-L142)</f>
        <v/>
      </c>
      <c r="AE142" s="21">
        <f>IF(Y142="","",Y142-M142)</f>
        <v/>
      </c>
      <c r="AF142" s="21">
        <f>IF(Z142="","",Z142-N142)</f>
        <v/>
      </c>
      <c r="AG142" s="21">
        <f>IF(AA142="","",AA142-O142)</f>
        <v/>
      </c>
      <c r="AH142" s="21">
        <f>IF(AB142="","",AB142-P142)</f>
        <v/>
      </c>
      <c r="AI142" s="18">
        <f>IF(COUNTA(W142:AB142)=0,"未入力",IF(COUNTA(W142:AB142)&lt;6,"一部入力",IF(COUNTIF(AC142:AH142,0)=6,"一致","差分あり")))</f>
        <v/>
      </c>
      <c r="AJ1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2" s="19" t="inlineStr"/>
      <c r="AL142" s="18" t="inlineStr">
        <is>
          <t>2026-06-29</t>
        </is>
      </c>
    </row>
    <row r="143" ht="22" customHeight="1">
      <c r="A143" s="17" t="inlineStr">
        <is>
          <t>1002203-LB0</t>
        </is>
      </c>
      <c r="B143" s="18" t="n">
        <v>1002203</v>
      </c>
      <c r="C143" s="17" t="inlineStr">
        <is>
          <t>IMinase03</t>
        </is>
      </c>
      <c r="D143" s="17" t="inlineStr">
        <is>
          <t>IMinase</t>
        </is>
      </c>
      <c r="E143" s="17" t="inlineStr">
        <is>
          <t>水瀬 いちご</t>
        </is>
      </c>
      <c r="F143" s="19" t="inlineStr">
        <is>
          <t>嬉々迫るフォール・イン・ラヴ</t>
        </is>
      </c>
      <c r="G143" s="18" t="inlineStr">
        <is>
          <t>SS</t>
        </is>
      </c>
      <c r="H143" s="17" t="inlineStr">
        <is>
          <t>Attacker</t>
        </is>
      </c>
      <c r="I143" s="18" t="n">
        <v>0</v>
      </c>
      <c r="J143" s="18" t="n">
        <v>4</v>
      </c>
      <c r="K143" s="18" t="n">
        <v>424</v>
      </c>
      <c r="L143" s="18" t="n">
        <v>342</v>
      </c>
      <c r="M143" s="18" t="n">
        <v>361</v>
      </c>
      <c r="N143" s="18" t="n">
        <v>375</v>
      </c>
      <c r="O143" s="18" t="n">
        <v>375</v>
      </c>
      <c r="P143" s="18" t="n">
        <v>391</v>
      </c>
      <c r="Q143" s="18" t="n">
        <v>43</v>
      </c>
      <c r="R143" s="18" t="n">
        <v>35</v>
      </c>
      <c r="S143" s="18" t="n">
        <v>37</v>
      </c>
      <c r="T143" s="18" t="n">
        <v>38</v>
      </c>
      <c r="U143" s="18" t="n">
        <v>38</v>
      </c>
      <c r="V143" s="18" t="n">
        <v>40</v>
      </c>
      <c r="W143" s="20" t="n"/>
      <c r="X143" s="20" t="n"/>
      <c r="Y143" s="20" t="n"/>
      <c r="Z143" s="20" t="n"/>
      <c r="AA143" s="20" t="n"/>
      <c r="AB143" s="20" t="n"/>
      <c r="AC143" s="21">
        <f>IF(W143="","",W143-K143)</f>
        <v/>
      </c>
      <c r="AD143" s="21">
        <f>IF(X143="","",X143-L143)</f>
        <v/>
      </c>
      <c r="AE143" s="21">
        <f>IF(Y143="","",Y143-M143)</f>
        <v/>
      </c>
      <c r="AF143" s="21">
        <f>IF(Z143="","",Z143-N143)</f>
        <v/>
      </c>
      <c r="AG143" s="21">
        <f>IF(AA143="","",AA143-O143)</f>
        <v/>
      </c>
      <c r="AH143" s="21">
        <f>IF(AB143="","",AB143-P143)</f>
        <v/>
      </c>
      <c r="AI143" s="18">
        <f>IF(COUNTA(W143:AB143)=0,"未入力",IF(COUNTA(W143:AB143)&lt;6,"一部入力",IF(COUNTIF(AC143:AH143,0)=6,"一致","差分あり")))</f>
        <v/>
      </c>
      <c r="AJ1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3" s="19" t="inlineStr"/>
      <c r="AL143" s="18" t="inlineStr">
        <is>
          <t>2026-06-29</t>
        </is>
      </c>
    </row>
    <row r="144" ht="22" customHeight="1">
      <c r="A144" s="17" t="inlineStr">
        <is>
          <t>1002203-LB4</t>
        </is>
      </c>
      <c r="B144" s="18" t="n">
        <v>1002203</v>
      </c>
      <c r="C144" s="17" t="inlineStr">
        <is>
          <t>IMinase03</t>
        </is>
      </c>
      <c r="D144" s="17" t="inlineStr">
        <is>
          <t>IMinase</t>
        </is>
      </c>
      <c r="E144" s="17" t="inlineStr">
        <is>
          <t>水瀬 いちご</t>
        </is>
      </c>
      <c r="F144" s="19" t="inlineStr">
        <is>
          <t>嬉々迫るフォール・イン・ラヴ</t>
        </is>
      </c>
      <c r="G144" s="18" t="inlineStr">
        <is>
          <t>SS</t>
        </is>
      </c>
      <c r="H144" s="17" t="inlineStr">
        <is>
          <t>Attacker</t>
        </is>
      </c>
      <c r="I144" s="18" t="n">
        <v>4</v>
      </c>
      <c r="J144" s="18" t="n">
        <v>4</v>
      </c>
      <c r="K144" s="18" t="n">
        <v>514</v>
      </c>
      <c r="L144" s="18" t="n">
        <v>430</v>
      </c>
      <c r="M144" s="18" t="n">
        <v>448</v>
      </c>
      <c r="N144" s="18" t="n">
        <v>463</v>
      </c>
      <c r="O144" s="18" t="n">
        <v>463</v>
      </c>
      <c r="P144" s="18" t="n">
        <v>479</v>
      </c>
      <c r="Q144" s="18" t="n">
        <v>52</v>
      </c>
      <c r="R144" s="18" t="n">
        <v>43</v>
      </c>
      <c r="S144" s="18" t="n">
        <v>45</v>
      </c>
      <c r="T144" s="18" t="n">
        <v>47</v>
      </c>
      <c r="U144" s="18" t="n">
        <v>47</v>
      </c>
      <c r="V144" s="18" t="n">
        <v>48</v>
      </c>
      <c r="W144" s="20" t="n"/>
      <c r="X144" s="20" t="n"/>
      <c r="Y144" s="20" t="n"/>
      <c r="Z144" s="20" t="n"/>
      <c r="AA144" s="20" t="n"/>
      <c r="AB144" s="20" t="n"/>
      <c r="AC144" s="21">
        <f>IF(W144="","",W144-K144)</f>
        <v/>
      </c>
      <c r="AD144" s="21">
        <f>IF(X144="","",X144-L144)</f>
        <v/>
      </c>
      <c r="AE144" s="21">
        <f>IF(Y144="","",Y144-M144)</f>
        <v/>
      </c>
      <c r="AF144" s="21">
        <f>IF(Z144="","",Z144-N144)</f>
        <v/>
      </c>
      <c r="AG144" s="21">
        <f>IF(AA144="","",AA144-O144)</f>
        <v/>
      </c>
      <c r="AH144" s="21">
        <f>IF(AB144="","",AB144-P144)</f>
        <v/>
      </c>
      <c r="AI144" s="18">
        <f>IF(COUNTA(W144:AB144)=0,"未入力",IF(COUNTA(W144:AB144)&lt;6,"一部入力",IF(COUNTIF(AC144:AH144,0)=6,"一致","差分あり")))</f>
        <v/>
      </c>
      <c r="AJ1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4" s="19" t="inlineStr"/>
      <c r="AL144" s="18" t="inlineStr">
        <is>
          <t>2026-06-29</t>
        </is>
      </c>
    </row>
    <row r="145" ht="22" customHeight="1">
      <c r="A145" s="17" t="inlineStr">
        <is>
          <t>1002204-LB0</t>
        </is>
      </c>
      <c r="B145" s="18" t="n">
        <v>1002204</v>
      </c>
      <c r="C145" s="17" t="inlineStr">
        <is>
          <t>IMinase04</t>
        </is>
      </c>
      <c r="D145" s="17" t="inlineStr">
        <is>
          <t>IMinase</t>
        </is>
      </c>
      <c r="E145" s="17" t="inlineStr">
        <is>
          <t>水瀬 いちご</t>
        </is>
      </c>
      <c r="F145" s="19" t="inlineStr">
        <is>
          <t>君の瞳にコロしてる</t>
        </is>
      </c>
      <c r="G145" s="18" t="inlineStr">
        <is>
          <t>SS</t>
        </is>
      </c>
      <c r="H145" s="17" t="inlineStr">
        <is>
          <t>Attacker</t>
        </is>
      </c>
      <c r="I145" s="18" t="n">
        <v>0</v>
      </c>
      <c r="J145" s="18" t="n">
        <v>4</v>
      </c>
      <c r="K145" s="18" t="n">
        <v>446</v>
      </c>
      <c r="L145" s="18" t="n">
        <v>364</v>
      </c>
      <c r="M145" s="18" t="n">
        <v>383</v>
      </c>
      <c r="N145" s="18" t="n">
        <v>397</v>
      </c>
      <c r="O145" s="18" t="n">
        <v>397</v>
      </c>
      <c r="P145" s="18" t="n">
        <v>413</v>
      </c>
      <c r="Q145" s="18" t="n">
        <v>45</v>
      </c>
      <c r="R145" s="18" t="n">
        <v>37</v>
      </c>
      <c r="S145" s="18" t="n">
        <v>39</v>
      </c>
      <c r="T145" s="18" t="n">
        <v>40</v>
      </c>
      <c r="U145" s="18" t="n">
        <v>40</v>
      </c>
      <c r="V145" s="18" t="n">
        <v>42</v>
      </c>
      <c r="W145" s="20" t="n"/>
      <c r="X145" s="20" t="n"/>
      <c r="Y145" s="20" t="n"/>
      <c r="Z145" s="20" t="n"/>
      <c r="AA145" s="20" t="n"/>
      <c r="AB145" s="20" t="n"/>
      <c r="AC145" s="21">
        <f>IF(W145="","",W145-K145)</f>
        <v/>
      </c>
      <c r="AD145" s="21">
        <f>IF(X145="","",X145-L145)</f>
        <v/>
      </c>
      <c r="AE145" s="21">
        <f>IF(Y145="","",Y145-M145)</f>
        <v/>
      </c>
      <c r="AF145" s="21">
        <f>IF(Z145="","",Z145-N145)</f>
        <v/>
      </c>
      <c r="AG145" s="21">
        <f>IF(AA145="","",AA145-O145)</f>
        <v/>
      </c>
      <c r="AH145" s="21">
        <f>IF(AB145="","",AB145-P145)</f>
        <v/>
      </c>
      <c r="AI145" s="18">
        <f>IF(COUNTA(W145:AB145)=0,"未入力",IF(COUNTA(W145:AB145)&lt;6,"一部入力",IF(COUNTIF(AC145:AH145,0)=6,"一致","差分あり")))</f>
        <v/>
      </c>
      <c r="AJ1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5" s="19" t="inlineStr"/>
      <c r="AL145" s="18" t="inlineStr">
        <is>
          <t>2026-06-29</t>
        </is>
      </c>
    </row>
    <row r="146" ht="22" customHeight="1">
      <c r="A146" s="17" t="inlineStr">
        <is>
          <t>1002204-LB4</t>
        </is>
      </c>
      <c r="B146" s="18" t="n">
        <v>1002204</v>
      </c>
      <c r="C146" s="17" t="inlineStr">
        <is>
          <t>IMinase04</t>
        </is>
      </c>
      <c r="D146" s="17" t="inlineStr">
        <is>
          <t>IMinase</t>
        </is>
      </c>
      <c r="E146" s="17" t="inlineStr">
        <is>
          <t>水瀬 いちご</t>
        </is>
      </c>
      <c r="F146" s="19" t="inlineStr">
        <is>
          <t>君の瞳にコロしてる</t>
        </is>
      </c>
      <c r="G146" s="18" t="inlineStr">
        <is>
          <t>SS</t>
        </is>
      </c>
      <c r="H146" s="17" t="inlineStr">
        <is>
          <t>Attacker</t>
        </is>
      </c>
      <c r="I146" s="18" t="n">
        <v>4</v>
      </c>
      <c r="J146" s="18" t="n">
        <v>4</v>
      </c>
      <c r="K146" s="18" t="n">
        <v>537</v>
      </c>
      <c r="L146" s="18" t="n">
        <v>452</v>
      </c>
      <c r="M146" s="18" t="n">
        <v>469</v>
      </c>
      <c r="N146" s="18" t="n">
        <v>484</v>
      </c>
      <c r="O146" s="18" t="n">
        <v>484</v>
      </c>
      <c r="P146" s="18" t="n">
        <v>501</v>
      </c>
      <c r="Q146" s="18" t="n">
        <v>54</v>
      </c>
      <c r="R146" s="18" t="n">
        <v>46</v>
      </c>
      <c r="S146" s="18" t="n">
        <v>47</v>
      </c>
      <c r="T146" s="18" t="n">
        <v>49</v>
      </c>
      <c r="U146" s="18" t="n">
        <v>49</v>
      </c>
      <c r="V146" s="18" t="n">
        <v>51</v>
      </c>
      <c r="W146" s="20" t="n"/>
      <c r="X146" s="20" t="n"/>
      <c r="Y146" s="20" t="n"/>
      <c r="Z146" s="20" t="n"/>
      <c r="AA146" s="20" t="n"/>
      <c r="AB146" s="20" t="n"/>
      <c r="AC146" s="21">
        <f>IF(W146="","",W146-K146)</f>
        <v/>
      </c>
      <c r="AD146" s="21">
        <f>IF(X146="","",X146-L146)</f>
        <v/>
      </c>
      <c r="AE146" s="21">
        <f>IF(Y146="","",Y146-M146)</f>
        <v/>
      </c>
      <c r="AF146" s="21">
        <f>IF(Z146="","",Z146-N146)</f>
        <v/>
      </c>
      <c r="AG146" s="21">
        <f>IF(AA146="","",AA146-O146)</f>
        <v/>
      </c>
      <c r="AH146" s="21">
        <f>IF(AB146="","",AB146-P146)</f>
        <v/>
      </c>
      <c r="AI146" s="18">
        <f>IF(COUNTA(W146:AB146)=0,"未入力",IF(COUNTA(W146:AB146)&lt;6,"一部入力",IF(COUNTIF(AC146:AH146,0)=6,"一致","差分あり")))</f>
        <v/>
      </c>
      <c r="AJ1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6" s="19" t="inlineStr"/>
      <c r="AL146" s="18" t="inlineStr">
        <is>
          <t>2026-06-29</t>
        </is>
      </c>
    </row>
    <row r="147" ht="22" customHeight="1">
      <c r="A147" s="17" t="inlineStr">
        <is>
          <t>1002205-LB0</t>
        </is>
      </c>
      <c r="B147" s="18" t="n">
        <v>1002205</v>
      </c>
      <c r="C147" s="17" t="inlineStr">
        <is>
          <t>IMinase05</t>
        </is>
      </c>
      <c r="D147" s="17" t="inlineStr">
        <is>
          <t>IMinase</t>
        </is>
      </c>
      <c r="E147" s="17" t="inlineStr">
        <is>
          <t>水瀬 いちご</t>
        </is>
      </c>
      <c r="F147" s="19" t="inlineStr">
        <is>
          <t>冷艶なるサイレンスキラー</t>
        </is>
      </c>
      <c r="G147" s="18" t="inlineStr">
        <is>
          <t>SS</t>
        </is>
      </c>
      <c r="H147" s="17" t="inlineStr">
        <is>
          <t>Attacker</t>
        </is>
      </c>
      <c r="I147" s="18" t="n">
        <v>0</v>
      </c>
      <c r="J147" s="18" t="n">
        <v>4</v>
      </c>
      <c r="K147" s="18" t="n">
        <v>446</v>
      </c>
      <c r="L147" s="18" t="n">
        <v>364</v>
      </c>
      <c r="M147" s="18" t="n">
        <v>383</v>
      </c>
      <c r="N147" s="18" t="n">
        <v>397</v>
      </c>
      <c r="O147" s="18" t="n">
        <v>397</v>
      </c>
      <c r="P147" s="18" t="n">
        <v>413</v>
      </c>
      <c r="Q147" s="18" t="n">
        <v>45</v>
      </c>
      <c r="R147" s="18" t="n">
        <v>37</v>
      </c>
      <c r="S147" s="18" t="n">
        <v>39</v>
      </c>
      <c r="T147" s="18" t="n">
        <v>40</v>
      </c>
      <c r="U147" s="18" t="n">
        <v>40</v>
      </c>
      <c r="V147" s="18" t="n">
        <v>42</v>
      </c>
      <c r="W147" s="20" t="n"/>
      <c r="X147" s="20" t="n"/>
      <c r="Y147" s="20" t="n"/>
      <c r="Z147" s="20" t="n"/>
      <c r="AA147" s="20" t="n"/>
      <c r="AB147" s="20" t="n"/>
      <c r="AC147" s="21">
        <f>IF(W147="","",W147-K147)</f>
        <v/>
      </c>
      <c r="AD147" s="21">
        <f>IF(X147="","",X147-L147)</f>
        <v/>
      </c>
      <c r="AE147" s="21">
        <f>IF(Y147="","",Y147-M147)</f>
        <v/>
      </c>
      <c r="AF147" s="21">
        <f>IF(Z147="","",Z147-N147)</f>
        <v/>
      </c>
      <c r="AG147" s="21">
        <f>IF(AA147="","",AA147-O147)</f>
        <v/>
      </c>
      <c r="AH147" s="21">
        <f>IF(AB147="","",AB147-P147)</f>
        <v/>
      </c>
      <c r="AI147" s="18">
        <f>IF(COUNTA(W147:AB147)=0,"未入力",IF(COUNTA(W147:AB147)&lt;6,"一部入力",IF(COUNTIF(AC147:AH147,0)=6,"一致","差分あり")))</f>
        <v/>
      </c>
      <c r="AJ1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7" s="19" t="inlineStr"/>
      <c r="AL147" s="18" t="inlineStr">
        <is>
          <t>2026-06-29</t>
        </is>
      </c>
    </row>
    <row r="148" ht="22" customHeight="1">
      <c r="A148" s="17" t="inlineStr">
        <is>
          <t>1002205-LB4</t>
        </is>
      </c>
      <c r="B148" s="18" t="n">
        <v>1002205</v>
      </c>
      <c r="C148" s="17" t="inlineStr">
        <is>
          <t>IMinase05</t>
        </is>
      </c>
      <c r="D148" s="17" t="inlineStr">
        <is>
          <t>IMinase</t>
        </is>
      </c>
      <c r="E148" s="17" t="inlineStr">
        <is>
          <t>水瀬 いちご</t>
        </is>
      </c>
      <c r="F148" s="19" t="inlineStr">
        <is>
          <t>冷艶なるサイレンスキラー</t>
        </is>
      </c>
      <c r="G148" s="18" t="inlineStr">
        <is>
          <t>SS</t>
        </is>
      </c>
      <c r="H148" s="17" t="inlineStr">
        <is>
          <t>Attacker</t>
        </is>
      </c>
      <c r="I148" s="18" t="n">
        <v>4</v>
      </c>
      <c r="J148" s="18" t="n">
        <v>4</v>
      </c>
      <c r="K148" s="18" t="n">
        <v>537</v>
      </c>
      <c r="L148" s="18" t="n">
        <v>452</v>
      </c>
      <c r="M148" s="18" t="n">
        <v>469</v>
      </c>
      <c r="N148" s="18" t="n">
        <v>484</v>
      </c>
      <c r="O148" s="18" t="n">
        <v>484</v>
      </c>
      <c r="P148" s="18" t="n">
        <v>501</v>
      </c>
      <c r="Q148" s="18" t="n">
        <v>54</v>
      </c>
      <c r="R148" s="18" t="n">
        <v>46</v>
      </c>
      <c r="S148" s="18" t="n">
        <v>47</v>
      </c>
      <c r="T148" s="18" t="n">
        <v>49</v>
      </c>
      <c r="U148" s="18" t="n">
        <v>49</v>
      </c>
      <c r="V148" s="18" t="n">
        <v>51</v>
      </c>
      <c r="W148" s="20" t="n"/>
      <c r="X148" s="20" t="n"/>
      <c r="Y148" s="20" t="n"/>
      <c r="Z148" s="20" t="n"/>
      <c r="AA148" s="20" t="n"/>
      <c r="AB148" s="20" t="n"/>
      <c r="AC148" s="21">
        <f>IF(W148="","",W148-K148)</f>
        <v/>
      </c>
      <c r="AD148" s="21">
        <f>IF(X148="","",X148-L148)</f>
        <v/>
      </c>
      <c r="AE148" s="21">
        <f>IF(Y148="","",Y148-M148)</f>
        <v/>
      </c>
      <c r="AF148" s="21">
        <f>IF(Z148="","",Z148-N148)</f>
        <v/>
      </c>
      <c r="AG148" s="21">
        <f>IF(AA148="","",AA148-O148)</f>
        <v/>
      </c>
      <c r="AH148" s="21">
        <f>IF(AB148="","",AB148-P148)</f>
        <v/>
      </c>
      <c r="AI148" s="18">
        <f>IF(COUNTA(W148:AB148)=0,"未入力",IF(COUNTA(W148:AB148)&lt;6,"一部入力",IF(COUNTIF(AC148:AH148,0)=6,"一致","差分あり")))</f>
        <v/>
      </c>
      <c r="AJ1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8" s="19" t="inlineStr"/>
      <c r="AL148" s="18" t="inlineStr">
        <is>
          <t>2026-06-29</t>
        </is>
      </c>
    </row>
    <row r="149" ht="22" customHeight="1">
      <c r="A149" s="17" t="inlineStr">
        <is>
          <t>1002206-LB0</t>
        </is>
      </c>
      <c r="B149" s="18" t="n">
        <v>1002206</v>
      </c>
      <c r="C149" s="17" t="inlineStr">
        <is>
          <t>IMinase06</t>
        </is>
      </c>
      <c r="D149" s="17" t="inlineStr">
        <is>
          <t>IMinase</t>
        </is>
      </c>
      <c r="E149" s="17" t="inlineStr">
        <is>
          <t>水瀬 いちご</t>
        </is>
      </c>
      <c r="F149" s="19" t="inlineStr">
        <is>
          <t>キラメキ・サマートス</t>
        </is>
      </c>
      <c r="G149" s="18" t="inlineStr">
        <is>
          <t>S</t>
        </is>
      </c>
      <c r="H149" s="17" t="inlineStr">
        <is>
          <t>Attacker</t>
        </is>
      </c>
      <c r="I149" s="18" t="n">
        <v>0</v>
      </c>
      <c r="J149" s="18" t="n">
        <v>10</v>
      </c>
      <c r="K149" s="18" t="n">
        <v>360</v>
      </c>
      <c r="L149" s="18" t="n">
        <v>306</v>
      </c>
      <c r="M149" s="18" t="n">
        <v>304</v>
      </c>
      <c r="N149" s="18" t="n">
        <v>316</v>
      </c>
      <c r="O149" s="18" t="n">
        <v>316</v>
      </c>
      <c r="P149" s="18" t="n">
        <v>351</v>
      </c>
      <c r="Q149" s="18" t="n">
        <v>36</v>
      </c>
      <c r="R149" s="18" t="n">
        <v>31</v>
      </c>
      <c r="S149" s="18" t="n">
        <v>31</v>
      </c>
      <c r="T149" s="18" t="n">
        <v>32</v>
      </c>
      <c r="U149" s="18" t="n">
        <v>32</v>
      </c>
      <c r="V149" s="18" t="n">
        <v>36</v>
      </c>
      <c r="W149" s="20" t="n"/>
      <c r="X149" s="20" t="n"/>
      <c r="Y149" s="20" t="n"/>
      <c r="Z149" s="20" t="n"/>
      <c r="AA149" s="20" t="n"/>
      <c r="AB149" s="20" t="n"/>
      <c r="AC149" s="21">
        <f>IF(W149="","",W149-K149)</f>
        <v/>
      </c>
      <c r="AD149" s="21">
        <f>IF(X149="","",X149-L149)</f>
        <v/>
      </c>
      <c r="AE149" s="21">
        <f>IF(Y149="","",Y149-M149)</f>
        <v/>
      </c>
      <c r="AF149" s="21">
        <f>IF(Z149="","",Z149-N149)</f>
        <v/>
      </c>
      <c r="AG149" s="21">
        <f>IF(AA149="","",AA149-O149)</f>
        <v/>
      </c>
      <c r="AH149" s="21">
        <f>IF(AB149="","",AB149-P149)</f>
        <v/>
      </c>
      <c r="AI149" s="18">
        <f>IF(COUNTA(W149:AB149)=0,"未入力",IF(COUNTA(W149:AB149)&lt;6,"一部入力",IF(COUNTIF(AC149:AH149,0)=6,"一致","差分あり")))</f>
        <v/>
      </c>
      <c r="AJ1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49" s="19" t="inlineStr"/>
      <c r="AL149" s="18" t="inlineStr">
        <is>
          <t>2026-06-29</t>
        </is>
      </c>
    </row>
    <row r="150" ht="22" customHeight="1">
      <c r="A150" s="17" t="inlineStr">
        <is>
          <t>1002206-LB10</t>
        </is>
      </c>
      <c r="B150" s="18" t="n">
        <v>1002206</v>
      </c>
      <c r="C150" s="17" t="inlineStr">
        <is>
          <t>IMinase06</t>
        </is>
      </c>
      <c r="D150" s="17" t="inlineStr">
        <is>
          <t>IMinase</t>
        </is>
      </c>
      <c r="E150" s="17" t="inlineStr">
        <is>
          <t>水瀬 いちご</t>
        </is>
      </c>
      <c r="F150" s="19" t="inlineStr">
        <is>
          <t>キラメキ・サマートス</t>
        </is>
      </c>
      <c r="G150" s="18" t="inlineStr">
        <is>
          <t>S</t>
        </is>
      </c>
      <c r="H150" s="17" t="inlineStr">
        <is>
          <t>Attacker</t>
        </is>
      </c>
      <c r="I150" s="18" t="n">
        <v>10</v>
      </c>
      <c r="J150" s="18" t="n">
        <v>10</v>
      </c>
      <c r="K150" s="18" t="n">
        <v>428</v>
      </c>
      <c r="L150" s="18" t="n">
        <v>372</v>
      </c>
      <c r="M150" s="18" t="n">
        <v>369</v>
      </c>
      <c r="N150" s="18" t="n">
        <v>381</v>
      </c>
      <c r="O150" s="18" t="n">
        <v>381</v>
      </c>
      <c r="P150" s="18" t="n">
        <v>417</v>
      </c>
      <c r="Q150" s="18" t="n">
        <v>43</v>
      </c>
      <c r="R150" s="18" t="n">
        <v>38</v>
      </c>
      <c r="S150" s="18" t="n">
        <v>37</v>
      </c>
      <c r="T150" s="18" t="n">
        <v>39</v>
      </c>
      <c r="U150" s="18" t="n">
        <v>39</v>
      </c>
      <c r="V150" s="18" t="n">
        <v>42</v>
      </c>
      <c r="W150" s="20" t="n"/>
      <c r="X150" s="20" t="n"/>
      <c r="Y150" s="20" t="n"/>
      <c r="Z150" s="20" t="n"/>
      <c r="AA150" s="20" t="n"/>
      <c r="AB150" s="20" t="n"/>
      <c r="AC150" s="21">
        <f>IF(W150="","",W150-K150)</f>
        <v/>
      </c>
      <c r="AD150" s="21">
        <f>IF(X150="","",X150-L150)</f>
        <v/>
      </c>
      <c r="AE150" s="21">
        <f>IF(Y150="","",Y150-M150)</f>
        <v/>
      </c>
      <c r="AF150" s="21">
        <f>IF(Z150="","",Z150-N150)</f>
        <v/>
      </c>
      <c r="AG150" s="21">
        <f>IF(AA150="","",AA150-O150)</f>
        <v/>
      </c>
      <c r="AH150" s="21">
        <f>IF(AB150="","",AB150-P150)</f>
        <v/>
      </c>
      <c r="AI150" s="18">
        <f>IF(COUNTA(W150:AB150)=0,"未入力",IF(COUNTA(W150:AB150)&lt;6,"一部入力",IF(COUNTIF(AC150:AH150,0)=6,"一致","差分あり")))</f>
        <v/>
      </c>
      <c r="AJ1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0" s="19" t="inlineStr"/>
      <c r="AL150" s="18" t="inlineStr">
        <is>
          <t>2026-06-29</t>
        </is>
      </c>
    </row>
    <row r="151" ht="22" customHeight="1">
      <c r="A151" s="17" t="inlineStr">
        <is>
          <t>1002207-LB0</t>
        </is>
      </c>
      <c r="B151" s="18" t="n">
        <v>1002207</v>
      </c>
      <c r="C151" s="17" t="inlineStr">
        <is>
          <t>IMinase07</t>
        </is>
      </c>
      <c r="D151" s="17" t="inlineStr">
        <is>
          <t>IMinase</t>
        </is>
      </c>
      <c r="E151" s="17" t="inlineStr">
        <is>
          <t>水瀬 いちご</t>
        </is>
      </c>
      <c r="F151" s="19" t="inlineStr">
        <is>
          <t>熱闘！かっとばせホームラン！</t>
        </is>
      </c>
      <c r="G151" s="18" t="inlineStr">
        <is>
          <t>SSR</t>
        </is>
      </c>
      <c r="H151" s="17" t="inlineStr">
        <is>
          <t>Buffer</t>
        </is>
      </c>
      <c r="I151" s="18" t="n">
        <v>0</v>
      </c>
      <c r="J151" s="18" t="n">
        <v>4</v>
      </c>
      <c r="K151" s="18" t="n">
        <v>410</v>
      </c>
      <c r="L151" s="18" t="n">
        <v>399</v>
      </c>
      <c r="M151" s="18" t="n">
        <v>430</v>
      </c>
      <c r="N151" s="18" t="n">
        <v>410</v>
      </c>
      <c r="O151" s="18" t="n">
        <v>384</v>
      </c>
      <c r="P151" s="18" t="n">
        <v>365</v>
      </c>
      <c r="Q151" s="18" t="n">
        <v>41</v>
      </c>
      <c r="R151" s="18" t="n">
        <v>40</v>
      </c>
      <c r="S151" s="18" t="n">
        <v>43</v>
      </c>
      <c r="T151" s="18" t="n">
        <v>41</v>
      </c>
      <c r="U151" s="18" t="n">
        <v>39</v>
      </c>
      <c r="V151" s="18" t="n">
        <v>37</v>
      </c>
      <c r="W151" s="20" t="n"/>
      <c r="X151" s="20" t="n"/>
      <c r="Y151" s="20" t="n"/>
      <c r="Z151" s="20" t="n"/>
      <c r="AA151" s="20" t="n"/>
      <c r="AB151" s="20" t="n"/>
      <c r="AC151" s="21">
        <f>IF(W151="","",W151-K151)</f>
        <v/>
      </c>
      <c r="AD151" s="21">
        <f>IF(X151="","",X151-L151)</f>
        <v/>
      </c>
      <c r="AE151" s="21">
        <f>IF(Y151="","",Y151-M151)</f>
        <v/>
      </c>
      <c r="AF151" s="21">
        <f>IF(Z151="","",Z151-N151)</f>
        <v/>
      </c>
      <c r="AG151" s="21">
        <f>IF(AA151="","",AA151-O151)</f>
        <v/>
      </c>
      <c r="AH151" s="21">
        <f>IF(AB151="","",AB151-P151)</f>
        <v/>
      </c>
      <c r="AI151" s="18">
        <f>IF(COUNTA(W151:AB151)=0,"未入力",IF(COUNTA(W151:AB151)&lt;6,"一部入力",IF(COUNTIF(AC151:AH151,0)=6,"一致","差分あり")))</f>
        <v/>
      </c>
      <c r="AJ1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1" s="19" t="inlineStr"/>
      <c r="AL151" s="18" t="inlineStr">
        <is>
          <t>2026-06-29</t>
        </is>
      </c>
    </row>
    <row r="152" ht="22" customHeight="1">
      <c r="A152" s="17" t="inlineStr">
        <is>
          <t>1002207-LB4</t>
        </is>
      </c>
      <c r="B152" s="18" t="n">
        <v>1002207</v>
      </c>
      <c r="C152" s="17" t="inlineStr">
        <is>
          <t>IMinase07</t>
        </is>
      </c>
      <c r="D152" s="17" t="inlineStr">
        <is>
          <t>IMinase</t>
        </is>
      </c>
      <c r="E152" s="17" t="inlineStr">
        <is>
          <t>水瀬 いちご</t>
        </is>
      </c>
      <c r="F152" s="19" t="inlineStr">
        <is>
          <t>熱闘！かっとばせホームラン！</t>
        </is>
      </c>
      <c r="G152" s="18" t="inlineStr">
        <is>
          <t>SSR</t>
        </is>
      </c>
      <c r="H152" s="17" t="inlineStr">
        <is>
          <t>Buffer</t>
        </is>
      </c>
      <c r="I152" s="18" t="n">
        <v>4</v>
      </c>
      <c r="J152" s="18" t="n">
        <v>4</v>
      </c>
      <c r="K152" s="18" t="n">
        <v>501</v>
      </c>
      <c r="L152" s="18" t="n">
        <v>486</v>
      </c>
      <c r="M152" s="18" t="n">
        <v>517</v>
      </c>
      <c r="N152" s="18" t="n">
        <v>497</v>
      </c>
      <c r="O152" s="18" t="n">
        <v>471</v>
      </c>
      <c r="P152" s="18" t="n">
        <v>453</v>
      </c>
      <c r="Q152" s="18" t="n">
        <v>51</v>
      </c>
      <c r="R152" s="18" t="n">
        <v>49</v>
      </c>
      <c r="S152" s="18" t="n">
        <v>52</v>
      </c>
      <c r="T152" s="18" t="n">
        <v>50</v>
      </c>
      <c r="U152" s="18" t="n">
        <v>48</v>
      </c>
      <c r="V152" s="18" t="n">
        <v>46</v>
      </c>
      <c r="W152" s="20" t="n"/>
      <c r="X152" s="20" t="n"/>
      <c r="Y152" s="20" t="n"/>
      <c r="Z152" s="20" t="n"/>
      <c r="AA152" s="20" t="n"/>
      <c r="AB152" s="20" t="n"/>
      <c r="AC152" s="21">
        <f>IF(W152="","",W152-K152)</f>
        <v/>
      </c>
      <c r="AD152" s="21">
        <f>IF(X152="","",X152-L152)</f>
        <v/>
      </c>
      <c r="AE152" s="21">
        <f>IF(Y152="","",Y152-M152)</f>
        <v/>
      </c>
      <c r="AF152" s="21">
        <f>IF(Z152="","",Z152-N152)</f>
        <v/>
      </c>
      <c r="AG152" s="21">
        <f>IF(AA152="","",AA152-O152)</f>
        <v/>
      </c>
      <c r="AH152" s="21">
        <f>IF(AB152="","",AB152-P152)</f>
        <v/>
      </c>
      <c r="AI152" s="18">
        <f>IF(COUNTA(W152:AB152)=0,"未入力",IF(COUNTA(W152:AB152)&lt;6,"一部入力",IF(COUNTIF(AC152:AH152,0)=6,"一致","差分あり")))</f>
        <v/>
      </c>
      <c r="AJ1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2" s="19" t="inlineStr"/>
      <c r="AL152" s="18" t="inlineStr">
        <is>
          <t>2026-06-29</t>
        </is>
      </c>
    </row>
    <row r="153" ht="22" customHeight="1">
      <c r="A153" s="17" t="inlineStr">
        <is>
          <t>1002301-LB0</t>
        </is>
      </c>
      <c r="B153" s="18" t="n">
        <v>1002301</v>
      </c>
      <c r="C153" s="17" t="inlineStr">
        <is>
          <t>SMinase01</t>
        </is>
      </c>
      <c r="D153" s="17" t="inlineStr">
        <is>
          <t>SMinase</t>
        </is>
      </c>
      <c r="E153" s="17" t="inlineStr">
        <is>
          <t>水瀬 すもも</t>
        </is>
      </c>
      <c r="F153" s="19" t="inlineStr">
        <is>
          <t>戦場の焔焔</t>
        </is>
      </c>
      <c r="G153" s="18" t="inlineStr">
        <is>
          <t>A</t>
        </is>
      </c>
      <c r="H153" s="17" t="inlineStr">
        <is>
          <t>Breaker</t>
        </is>
      </c>
      <c r="I153" s="18" t="n">
        <v>0</v>
      </c>
      <c r="J153" s="18" t="n">
        <v>20</v>
      </c>
      <c r="K153" s="18" t="n">
        <v>298</v>
      </c>
      <c r="L153" s="18" t="n">
        <v>253</v>
      </c>
      <c r="M153" s="18" t="n">
        <v>243</v>
      </c>
      <c r="N153" s="18" t="n">
        <v>277</v>
      </c>
      <c r="O153" s="18" t="n">
        <v>279</v>
      </c>
      <c r="P153" s="18" t="n">
        <v>290</v>
      </c>
      <c r="Q153" s="18" t="n">
        <v>30</v>
      </c>
      <c r="R153" s="18" t="n">
        <v>26</v>
      </c>
      <c r="S153" s="18" t="n">
        <v>25</v>
      </c>
      <c r="T153" s="18" t="n">
        <v>28</v>
      </c>
      <c r="U153" s="18" t="n">
        <v>28</v>
      </c>
      <c r="V153" s="18" t="n">
        <v>29</v>
      </c>
      <c r="W153" s="20" t="n"/>
      <c r="X153" s="20" t="n"/>
      <c r="Y153" s="20" t="n"/>
      <c r="Z153" s="20" t="n"/>
      <c r="AA153" s="20" t="n"/>
      <c r="AB153" s="20" t="n"/>
      <c r="AC153" s="21">
        <f>IF(W153="","",W153-K153)</f>
        <v/>
      </c>
      <c r="AD153" s="21">
        <f>IF(X153="","",X153-L153)</f>
        <v/>
      </c>
      <c r="AE153" s="21">
        <f>IF(Y153="","",Y153-M153)</f>
        <v/>
      </c>
      <c r="AF153" s="21">
        <f>IF(Z153="","",Z153-N153)</f>
        <v/>
      </c>
      <c r="AG153" s="21">
        <f>IF(AA153="","",AA153-O153)</f>
        <v/>
      </c>
      <c r="AH153" s="21">
        <f>IF(AB153="","",AB153-P153)</f>
        <v/>
      </c>
      <c r="AI153" s="18">
        <f>IF(COUNTA(W153:AB153)=0,"未入力",IF(COUNTA(W153:AB153)&lt;6,"一部入力",IF(COUNTIF(AC153:AH153,0)=6,"一致","差分あり")))</f>
        <v/>
      </c>
      <c r="AJ1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3" s="19" t="inlineStr"/>
      <c r="AL153" s="18" t="inlineStr">
        <is>
          <t>2026-06-29</t>
        </is>
      </c>
    </row>
    <row r="154" ht="22" customHeight="1">
      <c r="A154" s="17" t="inlineStr">
        <is>
          <t>1002301-LB20</t>
        </is>
      </c>
      <c r="B154" s="18" t="n">
        <v>1002301</v>
      </c>
      <c r="C154" s="17" t="inlineStr">
        <is>
          <t>SMinase01</t>
        </is>
      </c>
      <c r="D154" s="17" t="inlineStr">
        <is>
          <t>SMinase</t>
        </is>
      </c>
      <c r="E154" s="17" t="inlineStr">
        <is>
          <t>水瀬 すもも</t>
        </is>
      </c>
      <c r="F154" s="19" t="inlineStr">
        <is>
          <t>戦場の焔焔</t>
        </is>
      </c>
      <c r="G154" s="18" t="inlineStr">
        <is>
          <t>A</t>
        </is>
      </c>
      <c r="H154" s="17" t="inlineStr">
        <is>
          <t>Breaker</t>
        </is>
      </c>
      <c r="I154" s="18" t="n">
        <v>20</v>
      </c>
      <c r="J154" s="18" t="n">
        <v>20</v>
      </c>
      <c r="K154" s="18" t="n">
        <v>344</v>
      </c>
      <c r="L154" s="18" t="n">
        <v>298</v>
      </c>
      <c r="M154" s="18" t="n">
        <v>286</v>
      </c>
      <c r="N154" s="18" t="n">
        <v>320</v>
      </c>
      <c r="O154" s="18" t="n">
        <v>323</v>
      </c>
      <c r="P154" s="18" t="n">
        <v>334</v>
      </c>
      <c r="Q154" s="18" t="n">
        <v>35</v>
      </c>
      <c r="R154" s="18" t="n">
        <v>30</v>
      </c>
      <c r="S154" s="18" t="n">
        <v>29</v>
      </c>
      <c r="T154" s="18" t="n">
        <v>32</v>
      </c>
      <c r="U154" s="18" t="n">
        <v>33</v>
      </c>
      <c r="V154" s="18" t="n">
        <v>34</v>
      </c>
      <c r="W154" s="20" t="n"/>
      <c r="X154" s="20" t="n"/>
      <c r="Y154" s="20" t="n"/>
      <c r="Z154" s="20" t="n"/>
      <c r="AA154" s="20" t="n"/>
      <c r="AB154" s="20" t="n"/>
      <c r="AC154" s="21">
        <f>IF(W154="","",W154-K154)</f>
        <v/>
      </c>
      <c r="AD154" s="21">
        <f>IF(X154="","",X154-L154)</f>
        <v/>
      </c>
      <c r="AE154" s="21">
        <f>IF(Y154="","",Y154-M154)</f>
        <v/>
      </c>
      <c r="AF154" s="21">
        <f>IF(Z154="","",Z154-N154)</f>
        <v/>
      </c>
      <c r="AG154" s="21">
        <f>IF(AA154="","",AA154-O154)</f>
        <v/>
      </c>
      <c r="AH154" s="21">
        <f>IF(AB154="","",AB154-P154)</f>
        <v/>
      </c>
      <c r="AI154" s="18">
        <f>IF(COUNTA(W154:AB154)=0,"未入力",IF(COUNTA(W154:AB154)&lt;6,"一部入力",IF(COUNTIF(AC154:AH154,0)=6,"一致","差分あり")))</f>
        <v/>
      </c>
      <c r="AJ1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4" s="19" t="inlineStr"/>
      <c r="AL154" s="18" t="inlineStr">
        <is>
          <t>2026-06-29</t>
        </is>
      </c>
    </row>
    <row r="155" ht="22" customHeight="1">
      <c r="A155" s="17" t="inlineStr">
        <is>
          <t>1002302-LB0</t>
        </is>
      </c>
      <c r="B155" s="18" t="n">
        <v>1002302</v>
      </c>
      <c r="C155" s="17" t="inlineStr">
        <is>
          <t>SMinase02</t>
        </is>
      </c>
      <c r="D155" s="17" t="inlineStr">
        <is>
          <t>SMinase</t>
        </is>
      </c>
      <c r="E155" s="17" t="inlineStr">
        <is>
          <t>水瀬 すもも</t>
        </is>
      </c>
      <c r="F155" s="19" t="inlineStr">
        <is>
          <t>積乱雲</t>
        </is>
      </c>
      <c r="G155" s="18" t="inlineStr">
        <is>
          <t>S</t>
        </is>
      </c>
      <c r="H155" s="17" t="inlineStr">
        <is>
          <t>Breaker</t>
        </is>
      </c>
      <c r="I155" s="18" t="n">
        <v>0</v>
      </c>
      <c r="J155" s="18" t="n">
        <v>10</v>
      </c>
      <c r="K155" s="18" t="n">
        <v>327</v>
      </c>
      <c r="L155" s="18" t="n">
        <v>325</v>
      </c>
      <c r="M155" s="18" t="n">
        <v>342</v>
      </c>
      <c r="N155" s="18" t="n">
        <v>347</v>
      </c>
      <c r="O155" s="18" t="n">
        <v>306</v>
      </c>
      <c r="P155" s="18" t="n">
        <v>306</v>
      </c>
      <c r="Q155" s="18" t="n">
        <v>33</v>
      </c>
      <c r="R155" s="18" t="n">
        <v>33</v>
      </c>
      <c r="S155" s="18" t="n">
        <v>35</v>
      </c>
      <c r="T155" s="18" t="n">
        <v>35</v>
      </c>
      <c r="U155" s="18" t="n">
        <v>31</v>
      </c>
      <c r="V155" s="18" t="n">
        <v>31</v>
      </c>
      <c r="W155" s="20" t="n"/>
      <c r="X155" s="20" t="n"/>
      <c r="Y155" s="20" t="n"/>
      <c r="Z155" s="20" t="n"/>
      <c r="AA155" s="20" t="n"/>
      <c r="AB155" s="20" t="n"/>
      <c r="AC155" s="21">
        <f>IF(W155="","",W155-K155)</f>
        <v/>
      </c>
      <c r="AD155" s="21">
        <f>IF(X155="","",X155-L155)</f>
        <v/>
      </c>
      <c r="AE155" s="21">
        <f>IF(Y155="","",Y155-M155)</f>
        <v/>
      </c>
      <c r="AF155" s="21">
        <f>IF(Z155="","",Z155-N155)</f>
        <v/>
      </c>
      <c r="AG155" s="21">
        <f>IF(AA155="","",AA155-O155)</f>
        <v/>
      </c>
      <c r="AH155" s="21">
        <f>IF(AB155="","",AB155-P155)</f>
        <v/>
      </c>
      <c r="AI155" s="18">
        <f>IF(COUNTA(W155:AB155)=0,"未入力",IF(COUNTA(W155:AB155)&lt;6,"一部入力",IF(COUNTIF(AC155:AH155,0)=6,"一致","差分あり")))</f>
        <v/>
      </c>
      <c r="AJ1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5" s="19" t="inlineStr"/>
      <c r="AL155" s="18" t="inlineStr">
        <is>
          <t>2026-06-29</t>
        </is>
      </c>
    </row>
    <row r="156" ht="22" customHeight="1">
      <c r="A156" s="17" t="inlineStr">
        <is>
          <t>1002302-LB10</t>
        </is>
      </c>
      <c r="B156" s="18" t="n">
        <v>1002302</v>
      </c>
      <c r="C156" s="17" t="inlineStr">
        <is>
          <t>SMinase02</t>
        </is>
      </c>
      <c r="D156" s="17" t="inlineStr">
        <is>
          <t>SMinase</t>
        </is>
      </c>
      <c r="E156" s="17" t="inlineStr">
        <is>
          <t>水瀬 すもも</t>
        </is>
      </c>
      <c r="F156" s="19" t="inlineStr">
        <is>
          <t>積乱雲</t>
        </is>
      </c>
      <c r="G156" s="18" t="inlineStr">
        <is>
          <t>S</t>
        </is>
      </c>
      <c r="H156" s="17" t="inlineStr">
        <is>
          <t>Breaker</t>
        </is>
      </c>
      <c r="I156" s="18" t="n">
        <v>10</v>
      </c>
      <c r="J156" s="18" t="n">
        <v>10</v>
      </c>
      <c r="K156" s="18" t="n">
        <v>394</v>
      </c>
      <c r="L156" s="18" t="n">
        <v>393</v>
      </c>
      <c r="M156" s="18" t="n">
        <v>410</v>
      </c>
      <c r="N156" s="18" t="n">
        <v>412</v>
      </c>
      <c r="O156" s="18" t="n">
        <v>372</v>
      </c>
      <c r="P156" s="18" t="n">
        <v>372</v>
      </c>
      <c r="Q156" s="18" t="n">
        <v>40</v>
      </c>
      <c r="R156" s="18" t="n">
        <v>40</v>
      </c>
      <c r="S156" s="18" t="n">
        <v>41</v>
      </c>
      <c r="T156" s="18" t="n">
        <v>42</v>
      </c>
      <c r="U156" s="18" t="n">
        <v>38</v>
      </c>
      <c r="V156" s="18" t="n">
        <v>38</v>
      </c>
      <c r="W156" s="20" t="n"/>
      <c r="X156" s="20" t="n"/>
      <c r="Y156" s="20" t="n"/>
      <c r="Z156" s="20" t="n"/>
      <c r="AA156" s="20" t="n"/>
      <c r="AB156" s="20" t="n"/>
      <c r="AC156" s="21">
        <f>IF(W156="","",W156-K156)</f>
        <v/>
      </c>
      <c r="AD156" s="21">
        <f>IF(X156="","",X156-L156)</f>
        <v/>
      </c>
      <c r="AE156" s="21">
        <f>IF(Y156="","",Y156-M156)</f>
        <v/>
      </c>
      <c r="AF156" s="21">
        <f>IF(Z156="","",Z156-N156)</f>
        <v/>
      </c>
      <c r="AG156" s="21">
        <f>IF(AA156="","",AA156-O156)</f>
        <v/>
      </c>
      <c r="AH156" s="21">
        <f>IF(AB156="","",AB156-P156)</f>
        <v/>
      </c>
      <c r="AI156" s="18">
        <f>IF(COUNTA(W156:AB156)=0,"未入力",IF(COUNTA(W156:AB156)&lt;6,"一部入力",IF(COUNTIF(AC156:AH156,0)=6,"一致","差分あり")))</f>
        <v/>
      </c>
      <c r="AJ1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6" s="19" t="inlineStr"/>
      <c r="AL156" s="18" t="inlineStr">
        <is>
          <t>2026-06-29</t>
        </is>
      </c>
    </row>
    <row r="157" ht="22" customHeight="1">
      <c r="A157" s="17" t="inlineStr">
        <is>
          <t>1002303-LB0</t>
        </is>
      </c>
      <c r="B157" s="18" t="n">
        <v>1002303</v>
      </c>
      <c r="C157" s="17" t="inlineStr">
        <is>
          <t>SMinase03</t>
        </is>
      </c>
      <c r="D157" s="17" t="inlineStr">
        <is>
          <t>SMinase</t>
        </is>
      </c>
      <c r="E157" s="17" t="inlineStr">
        <is>
          <t>水瀬 すもも</t>
        </is>
      </c>
      <c r="F157" s="19" t="inlineStr">
        <is>
          <t>残光</t>
        </is>
      </c>
      <c r="G157" s="18" t="inlineStr">
        <is>
          <t>SS</t>
        </is>
      </c>
      <c r="H157" s="17" t="inlineStr">
        <is>
          <t>Breaker</t>
        </is>
      </c>
      <c r="I157" s="18" t="n">
        <v>0</v>
      </c>
      <c r="J157" s="18" t="n">
        <v>4</v>
      </c>
      <c r="K157" s="18" t="n">
        <v>352</v>
      </c>
      <c r="L157" s="18" t="n">
        <v>422</v>
      </c>
      <c r="M157" s="18" t="n">
        <v>372</v>
      </c>
      <c r="N157" s="18" t="n">
        <v>361</v>
      </c>
      <c r="O157" s="18" t="n">
        <v>390</v>
      </c>
      <c r="P157" s="18" t="n">
        <v>377</v>
      </c>
      <c r="Q157" s="18" t="n">
        <v>36</v>
      </c>
      <c r="R157" s="18" t="n">
        <v>43</v>
      </c>
      <c r="S157" s="18" t="n">
        <v>38</v>
      </c>
      <c r="T157" s="18" t="n">
        <v>37</v>
      </c>
      <c r="U157" s="18" t="n">
        <v>39</v>
      </c>
      <c r="V157" s="18" t="n">
        <v>38</v>
      </c>
      <c r="W157" s="20" t="n"/>
      <c r="X157" s="20" t="n"/>
      <c r="Y157" s="20" t="n"/>
      <c r="Z157" s="20" t="n"/>
      <c r="AA157" s="20" t="n"/>
      <c r="AB157" s="20" t="n"/>
      <c r="AC157" s="21">
        <f>IF(W157="","",W157-K157)</f>
        <v/>
      </c>
      <c r="AD157" s="21">
        <f>IF(X157="","",X157-L157)</f>
        <v/>
      </c>
      <c r="AE157" s="21">
        <f>IF(Y157="","",Y157-M157)</f>
        <v/>
      </c>
      <c r="AF157" s="21">
        <f>IF(Z157="","",Z157-N157)</f>
        <v/>
      </c>
      <c r="AG157" s="21">
        <f>IF(AA157="","",AA157-O157)</f>
        <v/>
      </c>
      <c r="AH157" s="21">
        <f>IF(AB157="","",AB157-P157)</f>
        <v/>
      </c>
      <c r="AI157" s="18">
        <f>IF(COUNTA(W157:AB157)=0,"未入力",IF(COUNTA(W157:AB157)&lt;6,"一部入力",IF(COUNTIF(AC157:AH157,0)=6,"一致","差分あり")))</f>
        <v/>
      </c>
      <c r="AJ1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7" s="19" t="inlineStr"/>
      <c r="AL157" s="18" t="inlineStr">
        <is>
          <t>2026-06-29</t>
        </is>
      </c>
    </row>
    <row r="158" ht="22" customHeight="1">
      <c r="A158" s="17" t="inlineStr">
        <is>
          <t>1002303-LB4</t>
        </is>
      </c>
      <c r="B158" s="18" t="n">
        <v>1002303</v>
      </c>
      <c r="C158" s="17" t="inlineStr">
        <is>
          <t>SMinase03</t>
        </is>
      </c>
      <c r="D158" s="17" t="inlineStr">
        <is>
          <t>SMinase</t>
        </is>
      </c>
      <c r="E158" s="17" t="inlineStr">
        <is>
          <t>水瀬 すもも</t>
        </is>
      </c>
      <c r="F158" s="19" t="inlineStr">
        <is>
          <t>残光</t>
        </is>
      </c>
      <c r="G158" s="18" t="inlineStr">
        <is>
          <t>SS</t>
        </is>
      </c>
      <c r="H158" s="17" t="inlineStr">
        <is>
          <t>Breaker</t>
        </is>
      </c>
      <c r="I158" s="18" t="n">
        <v>4</v>
      </c>
      <c r="J158" s="18" t="n">
        <v>4</v>
      </c>
      <c r="K158" s="18" t="n">
        <v>442</v>
      </c>
      <c r="L158" s="18" t="n">
        <v>512</v>
      </c>
      <c r="M158" s="18" t="n">
        <v>459</v>
      </c>
      <c r="N158" s="18" t="n">
        <v>448</v>
      </c>
      <c r="O158" s="18" t="n">
        <v>477</v>
      </c>
      <c r="P158" s="18" t="n">
        <v>465</v>
      </c>
      <c r="Q158" s="18" t="n">
        <v>45</v>
      </c>
      <c r="R158" s="18" t="n">
        <v>52</v>
      </c>
      <c r="S158" s="18" t="n">
        <v>46</v>
      </c>
      <c r="T158" s="18" t="n">
        <v>45</v>
      </c>
      <c r="U158" s="18" t="n">
        <v>48</v>
      </c>
      <c r="V158" s="18" t="n">
        <v>47</v>
      </c>
      <c r="W158" s="20" t="n"/>
      <c r="X158" s="20" t="n"/>
      <c r="Y158" s="20" t="n"/>
      <c r="Z158" s="20" t="n"/>
      <c r="AA158" s="20" t="n"/>
      <c r="AB158" s="20" t="n"/>
      <c r="AC158" s="21">
        <f>IF(W158="","",W158-K158)</f>
        <v/>
      </c>
      <c r="AD158" s="21">
        <f>IF(X158="","",X158-L158)</f>
        <v/>
      </c>
      <c r="AE158" s="21">
        <f>IF(Y158="","",Y158-M158)</f>
        <v/>
      </c>
      <c r="AF158" s="21">
        <f>IF(Z158="","",Z158-N158)</f>
        <v/>
      </c>
      <c r="AG158" s="21">
        <f>IF(AA158="","",AA158-O158)</f>
        <v/>
      </c>
      <c r="AH158" s="21">
        <f>IF(AB158="","",AB158-P158)</f>
        <v/>
      </c>
      <c r="AI158" s="18">
        <f>IF(COUNTA(W158:AB158)=0,"未入力",IF(COUNTA(W158:AB158)&lt;6,"一部入力",IF(COUNTIF(AC158:AH158,0)=6,"一致","差分あり")))</f>
        <v/>
      </c>
      <c r="AJ1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8" s="19" t="inlineStr"/>
      <c r="AL158" s="18" t="inlineStr">
        <is>
          <t>2026-06-29</t>
        </is>
      </c>
    </row>
    <row r="159" ht="22" customHeight="1">
      <c r="A159" s="17" t="inlineStr">
        <is>
          <t>1002304-LB0</t>
        </is>
      </c>
      <c r="B159" s="18" t="n">
        <v>1002304</v>
      </c>
      <c r="C159" s="17" t="inlineStr">
        <is>
          <t>SMinase04</t>
        </is>
      </c>
      <c r="D159" s="17" t="inlineStr">
        <is>
          <t>SMinase</t>
        </is>
      </c>
      <c r="E159" s="17" t="inlineStr">
        <is>
          <t>水瀬 すもも</t>
        </is>
      </c>
      <c r="F159" s="19" t="inlineStr">
        <is>
          <t>茹だるアサシン</t>
        </is>
      </c>
      <c r="G159" s="18" t="inlineStr">
        <is>
          <t>SS</t>
        </is>
      </c>
      <c r="H159" s="17" t="inlineStr">
        <is>
          <t>Attacker</t>
        </is>
      </c>
      <c r="I159" s="18" t="n">
        <v>0</v>
      </c>
      <c r="J159" s="18" t="n">
        <v>4</v>
      </c>
      <c r="K159" s="18" t="n">
        <v>446</v>
      </c>
      <c r="L159" s="18" t="n">
        <v>373</v>
      </c>
      <c r="M159" s="18" t="n">
        <v>381</v>
      </c>
      <c r="N159" s="18" t="n">
        <v>396</v>
      </c>
      <c r="O159" s="18" t="n">
        <v>399</v>
      </c>
      <c r="P159" s="18" t="n">
        <v>412</v>
      </c>
      <c r="Q159" s="18" t="n">
        <v>45</v>
      </c>
      <c r="R159" s="18" t="n">
        <v>38</v>
      </c>
      <c r="S159" s="18" t="n">
        <v>39</v>
      </c>
      <c r="T159" s="18" t="n">
        <v>40</v>
      </c>
      <c r="U159" s="18" t="n">
        <v>40</v>
      </c>
      <c r="V159" s="18" t="n">
        <v>42</v>
      </c>
      <c r="W159" s="20" t="n"/>
      <c r="X159" s="20" t="n"/>
      <c r="Y159" s="20" t="n"/>
      <c r="Z159" s="20" t="n"/>
      <c r="AA159" s="20" t="n"/>
      <c r="AB159" s="20" t="n"/>
      <c r="AC159" s="21">
        <f>IF(W159="","",W159-K159)</f>
        <v/>
      </c>
      <c r="AD159" s="21">
        <f>IF(X159="","",X159-L159)</f>
        <v/>
      </c>
      <c r="AE159" s="21">
        <f>IF(Y159="","",Y159-M159)</f>
        <v/>
      </c>
      <c r="AF159" s="21">
        <f>IF(Z159="","",Z159-N159)</f>
        <v/>
      </c>
      <c r="AG159" s="21">
        <f>IF(AA159="","",AA159-O159)</f>
        <v/>
      </c>
      <c r="AH159" s="21">
        <f>IF(AB159="","",AB159-P159)</f>
        <v/>
      </c>
      <c r="AI159" s="18">
        <f>IF(COUNTA(W159:AB159)=0,"未入力",IF(COUNTA(W159:AB159)&lt;6,"一部入力",IF(COUNTIF(AC159:AH159,0)=6,"一致","差分あり")))</f>
        <v/>
      </c>
      <c r="AJ1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59" s="19" t="inlineStr"/>
      <c r="AL159" s="18" t="inlineStr">
        <is>
          <t>2026-06-29</t>
        </is>
      </c>
    </row>
    <row r="160" ht="22" customHeight="1">
      <c r="A160" s="17" t="inlineStr">
        <is>
          <t>1002304-LB4</t>
        </is>
      </c>
      <c r="B160" s="18" t="n">
        <v>1002304</v>
      </c>
      <c r="C160" s="17" t="inlineStr">
        <is>
          <t>SMinase04</t>
        </is>
      </c>
      <c r="D160" s="17" t="inlineStr">
        <is>
          <t>SMinase</t>
        </is>
      </c>
      <c r="E160" s="17" t="inlineStr">
        <is>
          <t>水瀬 すもも</t>
        </is>
      </c>
      <c r="F160" s="19" t="inlineStr">
        <is>
          <t>茹だるアサシン</t>
        </is>
      </c>
      <c r="G160" s="18" t="inlineStr">
        <is>
          <t>SS</t>
        </is>
      </c>
      <c r="H160" s="17" t="inlineStr">
        <is>
          <t>Attacker</t>
        </is>
      </c>
      <c r="I160" s="18" t="n">
        <v>4</v>
      </c>
      <c r="J160" s="18" t="n">
        <v>4</v>
      </c>
      <c r="K160" s="18" t="n">
        <v>537</v>
      </c>
      <c r="L160" s="18" t="n">
        <v>463</v>
      </c>
      <c r="M160" s="18" t="n">
        <v>467</v>
      </c>
      <c r="N160" s="18" t="n">
        <v>482</v>
      </c>
      <c r="O160" s="18" t="n">
        <v>486</v>
      </c>
      <c r="P160" s="18" t="n">
        <v>499</v>
      </c>
      <c r="Q160" s="18" t="n">
        <v>54</v>
      </c>
      <c r="R160" s="18" t="n">
        <v>47</v>
      </c>
      <c r="S160" s="18" t="n">
        <v>47</v>
      </c>
      <c r="T160" s="18" t="n">
        <v>49</v>
      </c>
      <c r="U160" s="18" t="n">
        <v>49</v>
      </c>
      <c r="V160" s="18" t="n">
        <v>50</v>
      </c>
      <c r="W160" s="20" t="n"/>
      <c r="X160" s="20" t="n"/>
      <c r="Y160" s="20" t="n"/>
      <c r="Z160" s="20" t="n"/>
      <c r="AA160" s="20" t="n"/>
      <c r="AB160" s="20" t="n"/>
      <c r="AC160" s="21">
        <f>IF(W160="","",W160-K160)</f>
        <v/>
      </c>
      <c r="AD160" s="21">
        <f>IF(X160="","",X160-L160)</f>
        <v/>
      </c>
      <c r="AE160" s="21">
        <f>IF(Y160="","",Y160-M160)</f>
        <v/>
      </c>
      <c r="AF160" s="21">
        <f>IF(Z160="","",Z160-N160)</f>
        <v/>
      </c>
      <c r="AG160" s="21">
        <f>IF(AA160="","",AA160-O160)</f>
        <v/>
      </c>
      <c r="AH160" s="21">
        <f>IF(AB160="","",AB160-P160)</f>
        <v/>
      </c>
      <c r="AI160" s="18">
        <f>IF(COUNTA(W160:AB160)=0,"未入力",IF(COUNTA(W160:AB160)&lt;6,"一部入力",IF(COUNTIF(AC160:AH160,0)=6,"一致","差分あり")))</f>
        <v/>
      </c>
      <c r="AJ1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0" s="19" t="inlineStr"/>
      <c r="AL160" s="18" t="inlineStr">
        <is>
          <t>2026-06-29</t>
        </is>
      </c>
    </row>
    <row r="161" ht="22" customHeight="1">
      <c r="A161" s="17" t="inlineStr">
        <is>
          <t>1002305-LB0</t>
        </is>
      </c>
      <c r="B161" s="18" t="n">
        <v>1002305</v>
      </c>
      <c r="C161" s="17" t="inlineStr">
        <is>
          <t>SMinase05</t>
        </is>
      </c>
      <c r="D161" s="17" t="inlineStr">
        <is>
          <t>SMinase</t>
        </is>
      </c>
      <c r="E161" s="17" t="inlineStr">
        <is>
          <t>水瀬 すもも</t>
        </is>
      </c>
      <c r="F161" s="19" t="inlineStr">
        <is>
          <t>類は友を呼ぶ</t>
        </is>
      </c>
      <c r="G161" s="18" t="inlineStr">
        <is>
          <t>S</t>
        </is>
      </c>
      <c r="H161" s="17" t="inlineStr">
        <is>
          <t>Breaker</t>
        </is>
      </c>
      <c r="I161" s="18" t="n">
        <v>0</v>
      </c>
      <c r="J161" s="18" t="n">
        <v>10</v>
      </c>
      <c r="K161" s="18" t="n">
        <v>360</v>
      </c>
      <c r="L161" s="18" t="n">
        <v>311</v>
      </c>
      <c r="M161" s="18" t="n">
        <v>302</v>
      </c>
      <c r="N161" s="18" t="n">
        <v>314</v>
      </c>
      <c r="O161" s="18" t="n">
        <v>317</v>
      </c>
      <c r="P161" s="18" t="n">
        <v>350</v>
      </c>
      <c r="Q161" s="18" t="n">
        <v>36</v>
      </c>
      <c r="R161" s="18" t="n">
        <v>32</v>
      </c>
      <c r="S161" s="18" t="n">
        <v>31</v>
      </c>
      <c r="T161" s="18" t="n">
        <v>32</v>
      </c>
      <c r="U161" s="18" t="n">
        <v>32</v>
      </c>
      <c r="V161" s="18" t="n">
        <v>35</v>
      </c>
      <c r="W161" s="20" t="n"/>
      <c r="X161" s="20" t="n"/>
      <c r="Y161" s="20" t="n"/>
      <c r="Z161" s="20" t="n"/>
      <c r="AA161" s="20" t="n"/>
      <c r="AB161" s="20" t="n"/>
      <c r="AC161" s="21">
        <f>IF(W161="","",W161-K161)</f>
        <v/>
      </c>
      <c r="AD161" s="21">
        <f>IF(X161="","",X161-L161)</f>
        <v/>
      </c>
      <c r="AE161" s="21">
        <f>IF(Y161="","",Y161-M161)</f>
        <v/>
      </c>
      <c r="AF161" s="21">
        <f>IF(Z161="","",Z161-N161)</f>
        <v/>
      </c>
      <c r="AG161" s="21">
        <f>IF(AA161="","",AA161-O161)</f>
        <v/>
      </c>
      <c r="AH161" s="21">
        <f>IF(AB161="","",AB161-P161)</f>
        <v/>
      </c>
      <c r="AI161" s="18">
        <f>IF(COUNTA(W161:AB161)=0,"未入力",IF(COUNTA(W161:AB161)&lt;6,"一部入力",IF(COUNTIF(AC161:AH161,0)=6,"一致","差分あり")))</f>
        <v/>
      </c>
      <c r="AJ1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1" s="19" t="inlineStr"/>
      <c r="AL161" s="18" t="inlineStr">
        <is>
          <t>2026-06-29</t>
        </is>
      </c>
    </row>
    <row r="162" ht="22" customHeight="1">
      <c r="A162" s="17" t="inlineStr">
        <is>
          <t>1002305-LB10</t>
        </is>
      </c>
      <c r="B162" s="18" t="n">
        <v>1002305</v>
      </c>
      <c r="C162" s="17" t="inlineStr">
        <is>
          <t>SMinase05</t>
        </is>
      </c>
      <c r="D162" s="17" t="inlineStr">
        <is>
          <t>SMinase</t>
        </is>
      </c>
      <c r="E162" s="17" t="inlineStr">
        <is>
          <t>水瀬 すもも</t>
        </is>
      </c>
      <c r="F162" s="19" t="inlineStr">
        <is>
          <t>類は友を呼ぶ</t>
        </is>
      </c>
      <c r="G162" s="18" t="inlineStr">
        <is>
          <t>S</t>
        </is>
      </c>
      <c r="H162" s="17" t="inlineStr">
        <is>
          <t>Breaker</t>
        </is>
      </c>
      <c r="I162" s="18" t="n">
        <v>10</v>
      </c>
      <c r="J162" s="18" t="n">
        <v>10</v>
      </c>
      <c r="K162" s="18" t="n">
        <v>428</v>
      </c>
      <c r="L162" s="18" t="n">
        <v>381</v>
      </c>
      <c r="M162" s="18" t="n">
        <v>367</v>
      </c>
      <c r="N162" s="18" t="n">
        <v>380</v>
      </c>
      <c r="O162" s="18" t="n">
        <v>383</v>
      </c>
      <c r="P162" s="18" t="n">
        <v>416</v>
      </c>
      <c r="Q162" s="18" t="n">
        <v>43</v>
      </c>
      <c r="R162" s="18" t="n">
        <v>39</v>
      </c>
      <c r="S162" s="18" t="n">
        <v>37</v>
      </c>
      <c r="T162" s="18" t="n">
        <v>38</v>
      </c>
      <c r="U162" s="18" t="n">
        <v>39</v>
      </c>
      <c r="V162" s="18" t="n">
        <v>42</v>
      </c>
      <c r="W162" s="20" t="n"/>
      <c r="X162" s="20" t="n"/>
      <c r="Y162" s="20" t="n"/>
      <c r="Z162" s="20" t="n"/>
      <c r="AA162" s="20" t="n"/>
      <c r="AB162" s="20" t="n"/>
      <c r="AC162" s="21">
        <f>IF(W162="","",W162-K162)</f>
        <v/>
      </c>
      <c r="AD162" s="21">
        <f>IF(X162="","",X162-L162)</f>
        <v/>
      </c>
      <c r="AE162" s="21">
        <f>IF(Y162="","",Y162-M162)</f>
        <v/>
      </c>
      <c r="AF162" s="21">
        <f>IF(Z162="","",Z162-N162)</f>
        <v/>
      </c>
      <c r="AG162" s="21">
        <f>IF(AA162="","",AA162-O162)</f>
        <v/>
      </c>
      <c r="AH162" s="21">
        <f>IF(AB162="","",AB162-P162)</f>
        <v/>
      </c>
      <c r="AI162" s="18">
        <f>IF(COUNTA(W162:AB162)=0,"未入力",IF(COUNTA(W162:AB162)&lt;6,"一部入力",IF(COUNTIF(AC162:AH162,0)=6,"一致","差分あり")))</f>
        <v/>
      </c>
      <c r="AJ1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2" s="19" t="inlineStr"/>
      <c r="AL162" s="18" t="inlineStr">
        <is>
          <t>2026-06-29</t>
        </is>
      </c>
    </row>
    <row r="163" ht="22" customHeight="1">
      <c r="A163" s="17" t="inlineStr">
        <is>
          <t>1002306-LB0</t>
        </is>
      </c>
      <c r="B163" s="18" t="n">
        <v>1002306</v>
      </c>
      <c r="C163" s="17" t="inlineStr">
        <is>
          <t>SMinase06</t>
        </is>
      </c>
      <c r="D163" s="17" t="inlineStr">
        <is>
          <t>SMinase</t>
        </is>
      </c>
      <c r="E163" s="17" t="inlineStr">
        <is>
          <t>水瀬 すもも</t>
        </is>
      </c>
      <c r="F163" s="19" t="inlineStr">
        <is>
          <t>愛憐の綻び</t>
        </is>
      </c>
      <c r="G163" s="18" t="inlineStr">
        <is>
          <t>SS</t>
        </is>
      </c>
      <c r="H163" s="17" t="inlineStr">
        <is>
          <t>Attacker</t>
        </is>
      </c>
      <c r="I163" s="18" t="n">
        <v>0</v>
      </c>
      <c r="J163" s="18" t="n">
        <v>4</v>
      </c>
      <c r="K163" s="18" t="n">
        <v>446</v>
      </c>
      <c r="L163" s="18" t="n">
        <v>373</v>
      </c>
      <c r="M163" s="18" t="n">
        <v>381</v>
      </c>
      <c r="N163" s="18" t="n">
        <v>396</v>
      </c>
      <c r="O163" s="18" t="n">
        <v>399</v>
      </c>
      <c r="P163" s="18" t="n">
        <v>412</v>
      </c>
      <c r="Q163" s="18" t="n">
        <v>45</v>
      </c>
      <c r="R163" s="18" t="n">
        <v>38</v>
      </c>
      <c r="S163" s="18" t="n">
        <v>39</v>
      </c>
      <c r="T163" s="18" t="n">
        <v>40</v>
      </c>
      <c r="U163" s="18" t="n">
        <v>40</v>
      </c>
      <c r="V163" s="18" t="n">
        <v>42</v>
      </c>
      <c r="W163" s="20" t="n"/>
      <c r="X163" s="20" t="n"/>
      <c r="Y163" s="20" t="n"/>
      <c r="Z163" s="20" t="n"/>
      <c r="AA163" s="20" t="n"/>
      <c r="AB163" s="20" t="n"/>
      <c r="AC163" s="21">
        <f>IF(W163="","",W163-K163)</f>
        <v/>
      </c>
      <c r="AD163" s="21">
        <f>IF(X163="","",X163-L163)</f>
        <v/>
      </c>
      <c r="AE163" s="21">
        <f>IF(Y163="","",Y163-M163)</f>
        <v/>
      </c>
      <c r="AF163" s="21">
        <f>IF(Z163="","",Z163-N163)</f>
        <v/>
      </c>
      <c r="AG163" s="21">
        <f>IF(AA163="","",AA163-O163)</f>
        <v/>
      </c>
      <c r="AH163" s="21">
        <f>IF(AB163="","",AB163-P163)</f>
        <v/>
      </c>
      <c r="AI163" s="18">
        <f>IF(COUNTA(W163:AB163)=0,"未入力",IF(COUNTA(W163:AB163)&lt;6,"一部入力",IF(COUNTIF(AC163:AH163,0)=6,"一致","差分あり")))</f>
        <v/>
      </c>
      <c r="AJ1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3" s="19" t="inlineStr"/>
      <c r="AL163" s="18" t="inlineStr">
        <is>
          <t>2026-06-29</t>
        </is>
      </c>
    </row>
    <row r="164" ht="22" customHeight="1">
      <c r="A164" s="17" t="inlineStr">
        <is>
          <t>1002306-LB4</t>
        </is>
      </c>
      <c r="B164" s="18" t="n">
        <v>1002306</v>
      </c>
      <c r="C164" s="17" t="inlineStr">
        <is>
          <t>SMinase06</t>
        </is>
      </c>
      <c r="D164" s="17" t="inlineStr">
        <is>
          <t>SMinase</t>
        </is>
      </c>
      <c r="E164" s="17" t="inlineStr">
        <is>
          <t>水瀬 すもも</t>
        </is>
      </c>
      <c r="F164" s="19" t="inlineStr">
        <is>
          <t>愛憐の綻び</t>
        </is>
      </c>
      <c r="G164" s="18" t="inlineStr">
        <is>
          <t>SS</t>
        </is>
      </c>
      <c r="H164" s="17" t="inlineStr">
        <is>
          <t>Attacker</t>
        </is>
      </c>
      <c r="I164" s="18" t="n">
        <v>4</v>
      </c>
      <c r="J164" s="18" t="n">
        <v>4</v>
      </c>
      <c r="K164" s="18" t="n">
        <v>537</v>
      </c>
      <c r="L164" s="18" t="n">
        <v>463</v>
      </c>
      <c r="M164" s="18" t="n">
        <v>467</v>
      </c>
      <c r="N164" s="18" t="n">
        <v>482</v>
      </c>
      <c r="O164" s="18" t="n">
        <v>486</v>
      </c>
      <c r="P164" s="18" t="n">
        <v>499</v>
      </c>
      <c r="Q164" s="18" t="n">
        <v>54</v>
      </c>
      <c r="R164" s="18" t="n">
        <v>47</v>
      </c>
      <c r="S164" s="18" t="n">
        <v>47</v>
      </c>
      <c r="T164" s="18" t="n">
        <v>49</v>
      </c>
      <c r="U164" s="18" t="n">
        <v>49</v>
      </c>
      <c r="V164" s="18" t="n">
        <v>50</v>
      </c>
      <c r="W164" s="20" t="n"/>
      <c r="X164" s="20" t="n"/>
      <c r="Y164" s="20" t="n"/>
      <c r="Z164" s="20" t="n"/>
      <c r="AA164" s="20" t="n"/>
      <c r="AB164" s="20" t="n"/>
      <c r="AC164" s="21">
        <f>IF(W164="","",W164-K164)</f>
        <v/>
      </c>
      <c r="AD164" s="21">
        <f>IF(X164="","",X164-L164)</f>
        <v/>
      </c>
      <c r="AE164" s="21">
        <f>IF(Y164="","",Y164-M164)</f>
        <v/>
      </c>
      <c r="AF164" s="21">
        <f>IF(Z164="","",Z164-N164)</f>
        <v/>
      </c>
      <c r="AG164" s="21">
        <f>IF(AA164="","",AA164-O164)</f>
        <v/>
      </c>
      <c r="AH164" s="21">
        <f>IF(AB164="","",AB164-P164)</f>
        <v/>
      </c>
      <c r="AI164" s="18">
        <f>IF(COUNTA(W164:AB164)=0,"未入力",IF(COUNTA(W164:AB164)&lt;6,"一部入力",IF(COUNTIF(AC164:AH164,0)=6,"一致","差分あり")))</f>
        <v/>
      </c>
      <c r="AJ1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4" s="19" t="inlineStr"/>
      <c r="AL164" s="18" t="inlineStr">
        <is>
          <t>2026-06-29</t>
        </is>
      </c>
    </row>
    <row r="165" ht="22" customHeight="1">
      <c r="A165" s="17" t="inlineStr">
        <is>
          <t>1002307-LB0</t>
        </is>
      </c>
      <c r="B165" s="18" t="n">
        <v>1002307</v>
      </c>
      <c r="C165" s="17" t="inlineStr">
        <is>
          <t>SMinase07</t>
        </is>
      </c>
      <c r="D165" s="17" t="inlineStr">
        <is>
          <t>SMinase</t>
        </is>
      </c>
      <c r="E165" s="17" t="inlineStr">
        <is>
          <t>水瀬 すもも</t>
        </is>
      </c>
      <c r="F165" s="19" t="inlineStr">
        <is>
          <t>いたずらブラックキャット</t>
        </is>
      </c>
      <c r="G165" s="18" t="inlineStr">
        <is>
          <t>SS</t>
        </is>
      </c>
      <c r="H165" s="17" t="inlineStr">
        <is>
          <t>Breaker</t>
        </is>
      </c>
      <c r="I165" s="18" t="n">
        <v>0</v>
      </c>
      <c r="J165" s="18" t="n">
        <v>4</v>
      </c>
      <c r="K165" s="18" t="n">
        <v>374</v>
      </c>
      <c r="L165" s="18" t="n">
        <v>444</v>
      </c>
      <c r="M165" s="18" t="n">
        <v>394</v>
      </c>
      <c r="N165" s="18" t="n">
        <v>383</v>
      </c>
      <c r="O165" s="18" t="n">
        <v>412</v>
      </c>
      <c r="P165" s="18" t="n">
        <v>399</v>
      </c>
      <c r="Q165" s="18" t="n">
        <v>38</v>
      </c>
      <c r="R165" s="18" t="n">
        <v>45</v>
      </c>
      <c r="S165" s="18" t="n">
        <v>40</v>
      </c>
      <c r="T165" s="18" t="n">
        <v>39</v>
      </c>
      <c r="U165" s="18" t="n">
        <v>42</v>
      </c>
      <c r="V165" s="18" t="n">
        <v>40</v>
      </c>
      <c r="W165" s="20" t="n"/>
      <c r="X165" s="20" t="n"/>
      <c r="Y165" s="20" t="n"/>
      <c r="Z165" s="20" t="n"/>
      <c r="AA165" s="20" t="n"/>
      <c r="AB165" s="20" t="n"/>
      <c r="AC165" s="21">
        <f>IF(W165="","",W165-K165)</f>
        <v/>
      </c>
      <c r="AD165" s="21">
        <f>IF(X165="","",X165-L165)</f>
        <v/>
      </c>
      <c r="AE165" s="21">
        <f>IF(Y165="","",Y165-M165)</f>
        <v/>
      </c>
      <c r="AF165" s="21">
        <f>IF(Z165="","",Z165-N165)</f>
        <v/>
      </c>
      <c r="AG165" s="21">
        <f>IF(AA165="","",AA165-O165)</f>
        <v/>
      </c>
      <c r="AH165" s="21">
        <f>IF(AB165="","",AB165-P165)</f>
        <v/>
      </c>
      <c r="AI165" s="18">
        <f>IF(COUNTA(W165:AB165)=0,"未入力",IF(COUNTA(W165:AB165)&lt;6,"一部入力",IF(COUNTIF(AC165:AH165,0)=6,"一致","差分あり")))</f>
        <v/>
      </c>
      <c r="AJ1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5" s="19" t="inlineStr"/>
      <c r="AL165" s="18" t="inlineStr">
        <is>
          <t>2026-06-29</t>
        </is>
      </c>
    </row>
    <row r="166" ht="22" customHeight="1">
      <c r="A166" s="17" t="inlineStr">
        <is>
          <t>1002307-LB4</t>
        </is>
      </c>
      <c r="B166" s="18" t="n">
        <v>1002307</v>
      </c>
      <c r="C166" s="17" t="inlineStr">
        <is>
          <t>SMinase07</t>
        </is>
      </c>
      <c r="D166" s="17" t="inlineStr">
        <is>
          <t>SMinase</t>
        </is>
      </c>
      <c r="E166" s="17" t="inlineStr">
        <is>
          <t>水瀬 すもも</t>
        </is>
      </c>
      <c r="F166" s="19" t="inlineStr">
        <is>
          <t>いたずらブラックキャット</t>
        </is>
      </c>
      <c r="G166" s="18" t="inlineStr">
        <is>
          <t>SS</t>
        </is>
      </c>
      <c r="H166" s="17" t="inlineStr">
        <is>
          <t>Breaker</t>
        </is>
      </c>
      <c r="I166" s="18" t="n">
        <v>4</v>
      </c>
      <c r="J166" s="18" t="n">
        <v>4</v>
      </c>
      <c r="K166" s="18" t="n">
        <v>465</v>
      </c>
      <c r="L166" s="18" t="n">
        <v>534</v>
      </c>
      <c r="M166" s="18" t="n">
        <v>480</v>
      </c>
      <c r="N166" s="18" t="n">
        <v>469</v>
      </c>
      <c r="O166" s="18" t="n">
        <v>499</v>
      </c>
      <c r="P166" s="18" t="n">
        <v>486</v>
      </c>
      <c r="Q166" s="18" t="n">
        <v>47</v>
      </c>
      <c r="R166" s="18" t="n">
        <v>54</v>
      </c>
      <c r="S166" s="18" t="n">
        <v>48</v>
      </c>
      <c r="T166" s="18" t="n">
        <v>47</v>
      </c>
      <c r="U166" s="18" t="n">
        <v>50</v>
      </c>
      <c r="V166" s="18" t="n">
        <v>49</v>
      </c>
      <c r="W166" s="20" t="n"/>
      <c r="X166" s="20" t="n"/>
      <c r="Y166" s="20" t="n"/>
      <c r="Z166" s="20" t="n"/>
      <c r="AA166" s="20" t="n"/>
      <c r="AB166" s="20" t="n"/>
      <c r="AC166" s="21">
        <f>IF(W166="","",W166-K166)</f>
        <v/>
      </c>
      <c r="AD166" s="21">
        <f>IF(X166="","",X166-L166)</f>
        <v/>
      </c>
      <c r="AE166" s="21">
        <f>IF(Y166="","",Y166-M166)</f>
        <v/>
      </c>
      <c r="AF166" s="21">
        <f>IF(Z166="","",Z166-N166)</f>
        <v/>
      </c>
      <c r="AG166" s="21">
        <f>IF(AA166="","",AA166-O166)</f>
        <v/>
      </c>
      <c r="AH166" s="21">
        <f>IF(AB166="","",AB166-P166)</f>
        <v/>
      </c>
      <c r="AI166" s="18">
        <f>IF(COUNTA(W166:AB166)=0,"未入力",IF(COUNTA(W166:AB166)&lt;6,"一部入力",IF(COUNTIF(AC166:AH166,0)=6,"一致","差分あり")))</f>
        <v/>
      </c>
      <c r="AJ1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6" s="19" t="inlineStr"/>
      <c r="AL166" s="18" t="inlineStr">
        <is>
          <t>2026-06-29</t>
        </is>
      </c>
    </row>
    <row r="167" ht="22" customHeight="1">
      <c r="A167" s="17" t="inlineStr">
        <is>
          <t>1002401-LB0</t>
        </is>
      </c>
      <c r="B167" s="18" t="n">
        <v>1002401</v>
      </c>
      <c r="C167" s="17" t="inlineStr">
        <is>
          <t>SHiguchi01</t>
        </is>
      </c>
      <c r="D167" s="17" t="inlineStr">
        <is>
          <t>SHiguchi</t>
        </is>
      </c>
      <c r="E167" s="17" t="inlineStr">
        <is>
          <t>樋口 聖華</t>
        </is>
      </c>
      <c r="F167" s="19" t="inlineStr">
        <is>
          <t>戦場の科学者</t>
        </is>
      </c>
      <c r="G167" s="18" t="inlineStr">
        <is>
          <t>A</t>
        </is>
      </c>
      <c r="H167" s="17" t="inlineStr">
        <is>
          <t>Buffer</t>
        </is>
      </c>
      <c r="I167" s="18" t="n">
        <v>0</v>
      </c>
      <c r="J167" s="18" t="n">
        <v>20</v>
      </c>
      <c r="K167" s="18" t="n">
        <v>243</v>
      </c>
      <c r="L167" s="18" t="n">
        <v>289</v>
      </c>
      <c r="M167" s="18" t="n">
        <v>292</v>
      </c>
      <c r="N167" s="18" t="n">
        <v>251</v>
      </c>
      <c r="O167" s="18" t="n">
        <v>290</v>
      </c>
      <c r="P167" s="18" t="n">
        <v>273</v>
      </c>
      <c r="Q167" s="18" t="n">
        <v>25</v>
      </c>
      <c r="R167" s="18" t="n">
        <v>29</v>
      </c>
      <c r="S167" s="18" t="n">
        <v>30</v>
      </c>
      <c r="T167" s="18" t="n">
        <v>26</v>
      </c>
      <c r="U167" s="18" t="n">
        <v>29</v>
      </c>
      <c r="V167" s="18" t="n">
        <v>28</v>
      </c>
      <c r="W167" s="20" t="n"/>
      <c r="X167" s="20" t="n"/>
      <c r="Y167" s="20" t="n"/>
      <c r="Z167" s="20" t="n"/>
      <c r="AA167" s="20" t="n"/>
      <c r="AB167" s="20" t="n"/>
      <c r="AC167" s="21">
        <f>IF(W167="","",W167-K167)</f>
        <v/>
      </c>
      <c r="AD167" s="21">
        <f>IF(X167="","",X167-L167)</f>
        <v/>
      </c>
      <c r="AE167" s="21">
        <f>IF(Y167="","",Y167-M167)</f>
        <v/>
      </c>
      <c r="AF167" s="21">
        <f>IF(Z167="","",Z167-N167)</f>
        <v/>
      </c>
      <c r="AG167" s="21">
        <f>IF(AA167="","",AA167-O167)</f>
        <v/>
      </c>
      <c r="AH167" s="21">
        <f>IF(AB167="","",AB167-P167)</f>
        <v/>
      </c>
      <c r="AI167" s="18">
        <f>IF(COUNTA(W167:AB167)=0,"未入力",IF(COUNTA(W167:AB167)&lt;6,"一部入力",IF(COUNTIF(AC167:AH167,0)=6,"一致","差分あり")))</f>
        <v/>
      </c>
      <c r="AJ1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7" s="19" t="inlineStr"/>
      <c r="AL167" s="18" t="inlineStr">
        <is>
          <t>2026-06-29</t>
        </is>
      </c>
    </row>
    <row r="168" ht="22" customHeight="1">
      <c r="A168" s="17" t="inlineStr">
        <is>
          <t>1002401-LB20</t>
        </is>
      </c>
      <c r="B168" s="18" t="n">
        <v>1002401</v>
      </c>
      <c r="C168" s="17" t="inlineStr">
        <is>
          <t>SHiguchi01</t>
        </is>
      </c>
      <c r="D168" s="17" t="inlineStr">
        <is>
          <t>SHiguchi</t>
        </is>
      </c>
      <c r="E168" s="17" t="inlineStr">
        <is>
          <t>樋口 聖華</t>
        </is>
      </c>
      <c r="F168" s="19" t="inlineStr">
        <is>
          <t>戦場の科学者</t>
        </is>
      </c>
      <c r="G168" s="18" t="inlineStr">
        <is>
          <t>A</t>
        </is>
      </c>
      <c r="H168" s="17" t="inlineStr">
        <is>
          <t>Buffer</t>
        </is>
      </c>
      <c r="I168" s="18" t="n">
        <v>20</v>
      </c>
      <c r="J168" s="18" t="n">
        <v>20</v>
      </c>
      <c r="K168" s="18" t="n">
        <v>286</v>
      </c>
      <c r="L168" s="18" t="n">
        <v>334</v>
      </c>
      <c r="M168" s="18" t="n">
        <v>338</v>
      </c>
      <c r="N168" s="18" t="n">
        <v>295</v>
      </c>
      <c r="O168" s="18" t="n">
        <v>334</v>
      </c>
      <c r="P168" s="18" t="n">
        <v>316</v>
      </c>
      <c r="Q168" s="18" t="n">
        <v>29</v>
      </c>
      <c r="R168" s="18" t="n">
        <v>34</v>
      </c>
      <c r="S168" s="18" t="n">
        <v>34</v>
      </c>
      <c r="T168" s="18" t="n">
        <v>30</v>
      </c>
      <c r="U168" s="18" t="n">
        <v>34</v>
      </c>
      <c r="V168" s="18" t="n">
        <v>32</v>
      </c>
      <c r="W168" s="20" t="n"/>
      <c r="X168" s="20" t="n"/>
      <c r="Y168" s="20" t="n"/>
      <c r="Z168" s="20" t="n"/>
      <c r="AA168" s="20" t="n"/>
      <c r="AB168" s="20" t="n"/>
      <c r="AC168" s="21">
        <f>IF(W168="","",W168-K168)</f>
        <v/>
      </c>
      <c r="AD168" s="21">
        <f>IF(X168="","",X168-L168)</f>
        <v/>
      </c>
      <c r="AE168" s="21">
        <f>IF(Y168="","",Y168-M168)</f>
        <v/>
      </c>
      <c r="AF168" s="21">
        <f>IF(Z168="","",Z168-N168)</f>
        <v/>
      </c>
      <c r="AG168" s="21">
        <f>IF(AA168="","",AA168-O168)</f>
        <v/>
      </c>
      <c r="AH168" s="21">
        <f>IF(AB168="","",AB168-P168)</f>
        <v/>
      </c>
      <c r="AI168" s="18">
        <f>IF(COUNTA(W168:AB168)=0,"未入力",IF(COUNTA(W168:AB168)&lt;6,"一部入力",IF(COUNTIF(AC168:AH168,0)=6,"一致","差分あり")))</f>
        <v/>
      </c>
      <c r="AJ1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8" s="19" t="inlineStr"/>
      <c r="AL168" s="18" t="inlineStr">
        <is>
          <t>2026-06-29</t>
        </is>
      </c>
    </row>
    <row r="169" ht="22" customHeight="1">
      <c r="A169" s="17" t="inlineStr">
        <is>
          <t>1002402-LB0</t>
        </is>
      </c>
      <c r="B169" s="18" t="n">
        <v>1002402</v>
      </c>
      <c r="C169" s="17" t="inlineStr">
        <is>
          <t>SHiguchi02</t>
        </is>
      </c>
      <c r="D169" s="17" t="inlineStr">
        <is>
          <t>SHiguchi</t>
        </is>
      </c>
      <c r="E169" s="17" t="inlineStr">
        <is>
          <t>樋口 聖華</t>
        </is>
      </c>
      <c r="F169" s="19" t="inlineStr">
        <is>
          <t>或る少女の物語</t>
        </is>
      </c>
      <c r="G169" s="18" t="inlineStr">
        <is>
          <t>S</t>
        </is>
      </c>
      <c r="H169" s="17" t="inlineStr">
        <is>
          <t>Buffer</t>
        </is>
      </c>
      <c r="I169" s="18" t="n">
        <v>0</v>
      </c>
      <c r="J169" s="18" t="n">
        <v>10</v>
      </c>
      <c r="K169" s="18" t="n">
        <v>342</v>
      </c>
      <c r="L169" s="18" t="n">
        <v>306</v>
      </c>
      <c r="M169" s="18" t="n">
        <v>319</v>
      </c>
      <c r="N169" s="18" t="n">
        <v>323</v>
      </c>
      <c r="O169" s="18" t="n">
        <v>317</v>
      </c>
      <c r="P169" s="18" t="n">
        <v>342</v>
      </c>
      <c r="Q169" s="18" t="n">
        <v>35</v>
      </c>
      <c r="R169" s="18" t="n">
        <v>31</v>
      </c>
      <c r="S169" s="18" t="n">
        <v>32</v>
      </c>
      <c r="T169" s="18" t="n">
        <v>33</v>
      </c>
      <c r="U169" s="18" t="n">
        <v>32</v>
      </c>
      <c r="V169" s="18" t="n">
        <v>35</v>
      </c>
      <c r="W169" s="20" t="n"/>
      <c r="X169" s="20" t="n"/>
      <c r="Y169" s="20" t="n"/>
      <c r="Z169" s="20" t="n"/>
      <c r="AA169" s="20" t="n"/>
      <c r="AB169" s="20" t="n"/>
      <c r="AC169" s="21">
        <f>IF(W169="","",W169-K169)</f>
        <v/>
      </c>
      <c r="AD169" s="21">
        <f>IF(X169="","",X169-L169)</f>
        <v/>
      </c>
      <c r="AE169" s="21">
        <f>IF(Y169="","",Y169-M169)</f>
        <v/>
      </c>
      <c r="AF169" s="21">
        <f>IF(Z169="","",Z169-N169)</f>
        <v/>
      </c>
      <c r="AG169" s="21">
        <f>IF(AA169="","",AA169-O169)</f>
        <v/>
      </c>
      <c r="AH169" s="21">
        <f>IF(AB169="","",AB169-P169)</f>
        <v/>
      </c>
      <c r="AI169" s="18">
        <f>IF(COUNTA(W169:AB169)=0,"未入力",IF(COUNTA(W169:AB169)&lt;6,"一部入力",IF(COUNTIF(AC169:AH169,0)=6,"一致","差分あり")))</f>
        <v/>
      </c>
      <c r="AJ1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69" s="19" t="inlineStr"/>
      <c r="AL169" s="18" t="inlineStr">
        <is>
          <t>2026-06-29</t>
        </is>
      </c>
    </row>
    <row r="170" ht="22" customHeight="1">
      <c r="A170" s="17" t="inlineStr">
        <is>
          <t>1002402-LB10</t>
        </is>
      </c>
      <c r="B170" s="18" t="n">
        <v>1002402</v>
      </c>
      <c r="C170" s="17" t="inlineStr">
        <is>
          <t>SHiguchi02</t>
        </is>
      </c>
      <c r="D170" s="17" t="inlineStr">
        <is>
          <t>SHiguchi</t>
        </is>
      </c>
      <c r="E170" s="17" t="inlineStr">
        <is>
          <t>樋口 聖華</t>
        </is>
      </c>
      <c r="F170" s="19" t="inlineStr">
        <is>
          <t>或る少女の物語</t>
        </is>
      </c>
      <c r="G170" s="18" t="inlineStr">
        <is>
          <t>S</t>
        </is>
      </c>
      <c r="H170" s="17" t="inlineStr">
        <is>
          <t>Buffer</t>
        </is>
      </c>
      <c r="I170" s="18" t="n">
        <v>10</v>
      </c>
      <c r="J170" s="18" t="n">
        <v>10</v>
      </c>
      <c r="K170" s="18" t="n">
        <v>410</v>
      </c>
      <c r="L170" s="18" t="n">
        <v>372</v>
      </c>
      <c r="M170" s="18" t="n">
        <v>388</v>
      </c>
      <c r="N170" s="18" t="n">
        <v>389</v>
      </c>
      <c r="O170" s="18" t="n">
        <v>383</v>
      </c>
      <c r="P170" s="18" t="n">
        <v>407</v>
      </c>
      <c r="Q170" s="18" t="n">
        <v>41</v>
      </c>
      <c r="R170" s="18" t="n">
        <v>38</v>
      </c>
      <c r="S170" s="18" t="n">
        <v>39</v>
      </c>
      <c r="T170" s="18" t="n">
        <v>39</v>
      </c>
      <c r="U170" s="18" t="n">
        <v>39</v>
      </c>
      <c r="V170" s="18" t="n">
        <v>41</v>
      </c>
      <c r="W170" s="20" t="n"/>
      <c r="X170" s="20" t="n"/>
      <c r="Y170" s="20" t="n"/>
      <c r="Z170" s="20" t="n"/>
      <c r="AA170" s="20" t="n"/>
      <c r="AB170" s="20" t="n"/>
      <c r="AC170" s="21">
        <f>IF(W170="","",W170-K170)</f>
        <v/>
      </c>
      <c r="AD170" s="21">
        <f>IF(X170="","",X170-L170)</f>
        <v/>
      </c>
      <c r="AE170" s="21">
        <f>IF(Y170="","",Y170-M170)</f>
        <v/>
      </c>
      <c r="AF170" s="21">
        <f>IF(Z170="","",Z170-N170)</f>
        <v/>
      </c>
      <c r="AG170" s="21">
        <f>IF(AA170="","",AA170-O170)</f>
        <v/>
      </c>
      <c r="AH170" s="21">
        <f>IF(AB170="","",AB170-P170)</f>
        <v/>
      </c>
      <c r="AI170" s="18">
        <f>IF(COUNTA(W170:AB170)=0,"未入力",IF(COUNTA(W170:AB170)&lt;6,"一部入力",IF(COUNTIF(AC170:AH170,0)=6,"一致","差分あり")))</f>
        <v/>
      </c>
      <c r="AJ1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0" s="19" t="inlineStr"/>
      <c r="AL170" s="18" t="inlineStr">
        <is>
          <t>2026-06-29</t>
        </is>
      </c>
    </row>
    <row r="171" ht="22" customHeight="1">
      <c r="A171" s="17" t="inlineStr">
        <is>
          <t>1002403-LB0</t>
        </is>
      </c>
      <c r="B171" s="18" t="n">
        <v>1002403</v>
      </c>
      <c r="C171" s="17" t="inlineStr">
        <is>
          <t>SHiguchi03</t>
        </is>
      </c>
      <c r="D171" s="17" t="inlineStr">
        <is>
          <t>SHiguchi</t>
        </is>
      </c>
      <c r="E171" s="17" t="inlineStr">
        <is>
          <t>樋口 聖華</t>
        </is>
      </c>
      <c r="F171" s="19" t="inlineStr">
        <is>
          <t>生者のホメオスタシス</t>
        </is>
      </c>
      <c r="G171" s="18" t="inlineStr">
        <is>
          <t>SS</t>
        </is>
      </c>
      <c r="H171" s="17" t="inlineStr">
        <is>
          <t>Buffer</t>
        </is>
      </c>
      <c r="I171" s="18" t="n">
        <v>0</v>
      </c>
      <c r="J171" s="18" t="n">
        <v>4</v>
      </c>
      <c r="K171" s="18" t="n">
        <v>372</v>
      </c>
      <c r="L171" s="18" t="n">
        <v>377</v>
      </c>
      <c r="M171" s="18" t="n">
        <v>429</v>
      </c>
      <c r="N171" s="18" t="n">
        <v>396</v>
      </c>
      <c r="O171" s="18" t="n">
        <v>364</v>
      </c>
      <c r="P171" s="18" t="n">
        <v>335</v>
      </c>
      <c r="Q171" s="18" t="n">
        <v>38</v>
      </c>
      <c r="R171" s="18" t="n">
        <v>38</v>
      </c>
      <c r="S171" s="18" t="n">
        <v>43</v>
      </c>
      <c r="T171" s="18" t="n">
        <v>40</v>
      </c>
      <c r="U171" s="18" t="n">
        <v>37</v>
      </c>
      <c r="V171" s="18" t="n">
        <v>34</v>
      </c>
      <c r="W171" s="20" t="n"/>
      <c r="X171" s="20" t="n"/>
      <c r="Y171" s="20" t="n"/>
      <c r="Z171" s="20" t="n"/>
      <c r="AA171" s="20" t="n"/>
      <c r="AB171" s="20" t="n"/>
      <c r="AC171" s="21">
        <f>IF(W171="","",W171-K171)</f>
        <v/>
      </c>
      <c r="AD171" s="21">
        <f>IF(X171="","",X171-L171)</f>
        <v/>
      </c>
      <c r="AE171" s="21">
        <f>IF(Y171="","",Y171-M171)</f>
        <v/>
      </c>
      <c r="AF171" s="21">
        <f>IF(Z171="","",Z171-N171)</f>
        <v/>
      </c>
      <c r="AG171" s="21">
        <f>IF(AA171="","",AA171-O171)</f>
        <v/>
      </c>
      <c r="AH171" s="21">
        <f>IF(AB171="","",AB171-P171)</f>
        <v/>
      </c>
      <c r="AI171" s="18">
        <f>IF(COUNTA(W171:AB171)=0,"未入力",IF(COUNTA(W171:AB171)&lt;6,"一部入力",IF(COUNTIF(AC171:AH171,0)=6,"一致","差分あり")))</f>
        <v/>
      </c>
      <c r="AJ1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1" s="19" t="inlineStr"/>
      <c r="AL171" s="18" t="inlineStr">
        <is>
          <t>2026-06-29</t>
        </is>
      </c>
    </row>
    <row r="172" ht="22" customHeight="1">
      <c r="A172" s="17" t="inlineStr">
        <is>
          <t>1002403-LB4</t>
        </is>
      </c>
      <c r="B172" s="18" t="n">
        <v>1002403</v>
      </c>
      <c r="C172" s="17" t="inlineStr">
        <is>
          <t>SHiguchi03</t>
        </is>
      </c>
      <c r="D172" s="17" t="inlineStr">
        <is>
          <t>SHiguchi</t>
        </is>
      </c>
      <c r="E172" s="17" t="inlineStr">
        <is>
          <t>樋口 聖華</t>
        </is>
      </c>
      <c r="F172" s="19" t="inlineStr">
        <is>
          <t>生者のホメオスタシス</t>
        </is>
      </c>
      <c r="G172" s="18" t="inlineStr">
        <is>
          <t>SS</t>
        </is>
      </c>
      <c r="H172" s="17" t="inlineStr">
        <is>
          <t>Buffer</t>
        </is>
      </c>
      <c r="I172" s="18" t="n">
        <v>4</v>
      </c>
      <c r="J172" s="18" t="n">
        <v>4</v>
      </c>
      <c r="K172" s="18" t="n">
        <v>459</v>
      </c>
      <c r="L172" s="18" t="n">
        <v>465</v>
      </c>
      <c r="M172" s="18" t="n">
        <v>520</v>
      </c>
      <c r="N172" s="18" t="n">
        <v>485</v>
      </c>
      <c r="O172" s="18" t="n">
        <v>452</v>
      </c>
      <c r="P172" s="18" t="n">
        <v>421</v>
      </c>
      <c r="Q172" s="18" t="n">
        <v>46</v>
      </c>
      <c r="R172" s="18" t="n">
        <v>47</v>
      </c>
      <c r="S172" s="18" t="n">
        <v>52</v>
      </c>
      <c r="T172" s="18" t="n">
        <v>49</v>
      </c>
      <c r="U172" s="18" t="n">
        <v>46</v>
      </c>
      <c r="V172" s="18" t="n">
        <v>43</v>
      </c>
      <c r="W172" s="20" t="n"/>
      <c r="X172" s="20" t="n"/>
      <c r="Y172" s="20" t="n"/>
      <c r="Z172" s="20" t="n"/>
      <c r="AA172" s="20" t="n"/>
      <c r="AB172" s="20" t="n"/>
      <c r="AC172" s="21">
        <f>IF(W172="","",W172-K172)</f>
        <v/>
      </c>
      <c r="AD172" s="21">
        <f>IF(X172="","",X172-L172)</f>
        <v/>
      </c>
      <c r="AE172" s="21">
        <f>IF(Y172="","",Y172-M172)</f>
        <v/>
      </c>
      <c r="AF172" s="21">
        <f>IF(Z172="","",Z172-N172)</f>
        <v/>
      </c>
      <c r="AG172" s="21">
        <f>IF(AA172="","",AA172-O172)</f>
        <v/>
      </c>
      <c r="AH172" s="21">
        <f>IF(AB172="","",AB172-P172)</f>
        <v/>
      </c>
      <c r="AI172" s="18">
        <f>IF(COUNTA(W172:AB172)=0,"未入力",IF(COUNTA(W172:AB172)&lt;6,"一部入力",IF(COUNTIF(AC172:AH172,0)=6,"一致","差分あり")))</f>
        <v/>
      </c>
      <c r="AJ1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2" s="19" t="inlineStr"/>
      <c r="AL172" s="18" t="inlineStr">
        <is>
          <t>2026-06-29</t>
        </is>
      </c>
    </row>
    <row r="173" ht="22" customHeight="1">
      <c r="A173" s="17" t="inlineStr">
        <is>
          <t>1002404-LB0</t>
        </is>
      </c>
      <c r="B173" s="18" t="n">
        <v>1002404</v>
      </c>
      <c r="C173" s="17" t="inlineStr">
        <is>
          <t>SHiguchi04</t>
        </is>
      </c>
      <c r="D173" s="17" t="inlineStr">
        <is>
          <t>SHiguchi</t>
        </is>
      </c>
      <c r="E173" s="17" t="inlineStr">
        <is>
          <t>樋口 聖華</t>
        </is>
      </c>
      <c r="F173" s="19" t="inlineStr">
        <is>
          <t>宙の探究、星の眩耀</t>
        </is>
      </c>
      <c r="G173" s="18" t="inlineStr">
        <is>
          <t>SS</t>
        </is>
      </c>
      <c r="H173" s="17" t="inlineStr">
        <is>
          <t>Buffer</t>
        </is>
      </c>
      <c r="I173" s="18" t="n">
        <v>0</v>
      </c>
      <c r="J173" s="18" t="n">
        <v>4</v>
      </c>
      <c r="K173" s="18" t="n">
        <v>394</v>
      </c>
      <c r="L173" s="18" t="n">
        <v>399</v>
      </c>
      <c r="M173" s="18" t="n">
        <v>452</v>
      </c>
      <c r="N173" s="18" t="n">
        <v>419</v>
      </c>
      <c r="O173" s="18" t="n">
        <v>386</v>
      </c>
      <c r="P173" s="18" t="n">
        <v>356</v>
      </c>
      <c r="Q173" s="18" t="n">
        <v>40</v>
      </c>
      <c r="R173" s="18" t="n">
        <v>40</v>
      </c>
      <c r="S173" s="18" t="n">
        <v>46</v>
      </c>
      <c r="T173" s="18" t="n">
        <v>42</v>
      </c>
      <c r="U173" s="18" t="n">
        <v>39</v>
      </c>
      <c r="V173" s="18" t="n">
        <v>36</v>
      </c>
      <c r="W173" s="20" t="n"/>
      <c r="X173" s="20" t="n"/>
      <c r="Y173" s="20" t="n"/>
      <c r="Z173" s="20" t="n"/>
      <c r="AA173" s="20" t="n"/>
      <c r="AB173" s="20" t="n"/>
      <c r="AC173" s="21">
        <f>IF(W173="","",W173-K173)</f>
        <v/>
      </c>
      <c r="AD173" s="21">
        <f>IF(X173="","",X173-L173)</f>
        <v/>
      </c>
      <c r="AE173" s="21">
        <f>IF(Y173="","",Y173-M173)</f>
        <v/>
      </c>
      <c r="AF173" s="21">
        <f>IF(Z173="","",Z173-N173)</f>
        <v/>
      </c>
      <c r="AG173" s="21">
        <f>IF(AA173="","",AA173-O173)</f>
        <v/>
      </c>
      <c r="AH173" s="21">
        <f>IF(AB173="","",AB173-P173)</f>
        <v/>
      </c>
      <c r="AI173" s="18">
        <f>IF(COUNTA(W173:AB173)=0,"未入力",IF(COUNTA(W173:AB173)&lt;6,"一部入力",IF(COUNTIF(AC173:AH173,0)=6,"一致","差分あり")))</f>
        <v/>
      </c>
      <c r="AJ1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3" s="19" t="inlineStr"/>
      <c r="AL173" s="18" t="inlineStr">
        <is>
          <t>2026-06-29</t>
        </is>
      </c>
    </row>
    <row r="174" ht="22" customHeight="1">
      <c r="A174" s="17" t="inlineStr">
        <is>
          <t>1002404-LB4</t>
        </is>
      </c>
      <c r="B174" s="18" t="n">
        <v>1002404</v>
      </c>
      <c r="C174" s="17" t="inlineStr">
        <is>
          <t>SHiguchi04</t>
        </is>
      </c>
      <c r="D174" s="17" t="inlineStr">
        <is>
          <t>SHiguchi</t>
        </is>
      </c>
      <c r="E174" s="17" t="inlineStr">
        <is>
          <t>樋口 聖華</t>
        </is>
      </c>
      <c r="F174" s="19" t="inlineStr">
        <is>
          <t>宙の探究、星の眩耀</t>
        </is>
      </c>
      <c r="G174" s="18" t="inlineStr">
        <is>
          <t>SS</t>
        </is>
      </c>
      <c r="H174" s="17" t="inlineStr">
        <is>
          <t>Buffer</t>
        </is>
      </c>
      <c r="I174" s="18" t="n">
        <v>4</v>
      </c>
      <c r="J174" s="18" t="n">
        <v>4</v>
      </c>
      <c r="K174" s="18" t="n">
        <v>480</v>
      </c>
      <c r="L174" s="18" t="n">
        <v>486</v>
      </c>
      <c r="M174" s="18" t="n">
        <v>543</v>
      </c>
      <c r="N174" s="18" t="n">
        <v>508</v>
      </c>
      <c r="O174" s="18" t="n">
        <v>473</v>
      </c>
      <c r="P174" s="18" t="n">
        <v>442</v>
      </c>
      <c r="Q174" s="18" t="n">
        <v>48</v>
      </c>
      <c r="R174" s="18" t="n">
        <v>49</v>
      </c>
      <c r="S174" s="18" t="n">
        <v>55</v>
      </c>
      <c r="T174" s="18" t="n">
        <v>51</v>
      </c>
      <c r="U174" s="18" t="n">
        <v>48</v>
      </c>
      <c r="V174" s="18" t="n">
        <v>45</v>
      </c>
      <c r="W174" s="20" t="n"/>
      <c r="X174" s="20" t="n"/>
      <c r="Y174" s="20" t="n"/>
      <c r="Z174" s="20" t="n"/>
      <c r="AA174" s="20" t="n"/>
      <c r="AB174" s="20" t="n"/>
      <c r="AC174" s="21">
        <f>IF(W174="","",W174-K174)</f>
        <v/>
      </c>
      <c r="AD174" s="21">
        <f>IF(X174="","",X174-L174)</f>
        <v/>
      </c>
      <c r="AE174" s="21">
        <f>IF(Y174="","",Y174-M174)</f>
        <v/>
      </c>
      <c r="AF174" s="21">
        <f>IF(Z174="","",Z174-N174)</f>
        <v/>
      </c>
      <c r="AG174" s="21">
        <f>IF(AA174="","",AA174-O174)</f>
        <v/>
      </c>
      <c r="AH174" s="21">
        <f>IF(AB174="","",AB174-P174)</f>
        <v/>
      </c>
      <c r="AI174" s="18">
        <f>IF(COUNTA(W174:AB174)=0,"未入力",IF(COUNTA(W174:AB174)&lt;6,"一部入力",IF(COUNTIF(AC174:AH174,0)=6,"一致","差分あり")))</f>
        <v/>
      </c>
      <c r="AJ1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4" s="19" t="inlineStr"/>
      <c r="AL174" s="18" t="inlineStr">
        <is>
          <t>2026-06-29</t>
        </is>
      </c>
    </row>
    <row r="175" ht="22" customHeight="1">
      <c r="A175" s="17" t="inlineStr">
        <is>
          <t>1002405-LB0</t>
        </is>
      </c>
      <c r="B175" s="18" t="n">
        <v>1002405</v>
      </c>
      <c r="C175" s="17" t="inlineStr">
        <is>
          <t>SHiguchi05</t>
        </is>
      </c>
      <c r="D175" s="17" t="inlineStr">
        <is>
          <t>SHiguchi</t>
        </is>
      </c>
      <c r="E175" s="17" t="inlineStr">
        <is>
          <t>樋口 聖華</t>
        </is>
      </c>
      <c r="F175" s="19" t="inlineStr">
        <is>
          <t>青春の発露</t>
        </is>
      </c>
      <c r="G175" s="18" t="inlineStr">
        <is>
          <t>S</t>
        </is>
      </c>
      <c r="H175" s="17" t="inlineStr">
        <is>
          <t>Buffer</t>
        </is>
      </c>
      <c r="I175" s="18" t="n">
        <v>0</v>
      </c>
      <c r="J175" s="18" t="n">
        <v>10</v>
      </c>
      <c r="K175" s="18" t="n">
        <v>302</v>
      </c>
      <c r="L175" s="18" t="n">
        <v>350</v>
      </c>
      <c r="M175" s="18" t="n">
        <v>331</v>
      </c>
      <c r="N175" s="18" t="n">
        <v>311</v>
      </c>
      <c r="O175" s="18" t="n">
        <v>350</v>
      </c>
      <c r="P175" s="18" t="n">
        <v>310</v>
      </c>
      <c r="Q175" s="18" t="n">
        <v>31</v>
      </c>
      <c r="R175" s="18" t="n">
        <v>35</v>
      </c>
      <c r="S175" s="18" t="n">
        <v>34</v>
      </c>
      <c r="T175" s="18" t="n">
        <v>32</v>
      </c>
      <c r="U175" s="18" t="n">
        <v>35</v>
      </c>
      <c r="V175" s="18" t="n">
        <v>31</v>
      </c>
      <c r="W175" s="20" t="n"/>
      <c r="X175" s="20" t="n"/>
      <c r="Y175" s="20" t="n"/>
      <c r="Z175" s="20" t="n"/>
      <c r="AA175" s="20" t="n"/>
      <c r="AB175" s="20" t="n"/>
      <c r="AC175" s="21">
        <f>IF(W175="","",W175-K175)</f>
        <v/>
      </c>
      <c r="AD175" s="21">
        <f>IF(X175="","",X175-L175)</f>
        <v/>
      </c>
      <c r="AE175" s="21">
        <f>IF(Y175="","",Y175-M175)</f>
        <v/>
      </c>
      <c r="AF175" s="21">
        <f>IF(Z175="","",Z175-N175)</f>
        <v/>
      </c>
      <c r="AG175" s="21">
        <f>IF(AA175="","",AA175-O175)</f>
        <v/>
      </c>
      <c r="AH175" s="21">
        <f>IF(AB175="","",AB175-P175)</f>
        <v/>
      </c>
      <c r="AI175" s="18">
        <f>IF(COUNTA(W175:AB175)=0,"未入力",IF(COUNTA(W175:AB175)&lt;6,"一部入力",IF(COUNTIF(AC175:AH175,0)=6,"一致","差分あり")))</f>
        <v/>
      </c>
      <c r="AJ1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5" s="19" t="inlineStr"/>
      <c r="AL175" s="18" t="inlineStr">
        <is>
          <t>2026-06-29</t>
        </is>
      </c>
    </row>
    <row r="176" ht="22" customHeight="1">
      <c r="A176" s="17" t="inlineStr">
        <is>
          <t>1002405-LB10</t>
        </is>
      </c>
      <c r="B176" s="18" t="n">
        <v>1002405</v>
      </c>
      <c r="C176" s="17" t="inlineStr">
        <is>
          <t>SHiguchi05</t>
        </is>
      </c>
      <c r="D176" s="17" t="inlineStr">
        <is>
          <t>SHiguchi</t>
        </is>
      </c>
      <c r="E176" s="17" t="inlineStr">
        <is>
          <t>樋口 聖華</t>
        </is>
      </c>
      <c r="F176" s="19" t="inlineStr">
        <is>
          <t>青春の発露</t>
        </is>
      </c>
      <c r="G176" s="18" t="inlineStr">
        <is>
          <t>S</t>
        </is>
      </c>
      <c r="H176" s="17" t="inlineStr">
        <is>
          <t>Buffer</t>
        </is>
      </c>
      <c r="I176" s="18" t="n">
        <v>10</v>
      </c>
      <c r="J176" s="18" t="n">
        <v>10</v>
      </c>
      <c r="K176" s="18" t="n">
        <v>367</v>
      </c>
      <c r="L176" s="18" t="n">
        <v>416</v>
      </c>
      <c r="M176" s="18" t="n">
        <v>399</v>
      </c>
      <c r="N176" s="18" t="n">
        <v>378</v>
      </c>
      <c r="O176" s="18" t="n">
        <v>416</v>
      </c>
      <c r="P176" s="18" t="n">
        <v>375</v>
      </c>
      <c r="Q176" s="18" t="n">
        <v>37</v>
      </c>
      <c r="R176" s="18" t="n">
        <v>42</v>
      </c>
      <c r="S176" s="18" t="n">
        <v>40</v>
      </c>
      <c r="T176" s="18" t="n">
        <v>38</v>
      </c>
      <c r="U176" s="18" t="n">
        <v>42</v>
      </c>
      <c r="V176" s="18" t="n">
        <v>38</v>
      </c>
      <c r="W176" s="20" t="n"/>
      <c r="X176" s="20" t="n"/>
      <c r="Y176" s="20" t="n"/>
      <c r="Z176" s="20" t="n"/>
      <c r="AA176" s="20" t="n"/>
      <c r="AB176" s="20" t="n"/>
      <c r="AC176" s="21">
        <f>IF(W176="","",W176-K176)</f>
        <v/>
      </c>
      <c r="AD176" s="21">
        <f>IF(X176="","",X176-L176)</f>
        <v/>
      </c>
      <c r="AE176" s="21">
        <f>IF(Y176="","",Y176-M176)</f>
        <v/>
      </c>
      <c r="AF176" s="21">
        <f>IF(Z176="","",Z176-N176)</f>
        <v/>
      </c>
      <c r="AG176" s="21">
        <f>IF(AA176="","",AA176-O176)</f>
        <v/>
      </c>
      <c r="AH176" s="21">
        <f>IF(AB176="","",AB176-P176)</f>
        <v/>
      </c>
      <c r="AI176" s="18">
        <f>IF(COUNTA(W176:AB176)=0,"未入力",IF(COUNTA(W176:AB176)&lt;6,"一部入力",IF(COUNTIF(AC176:AH176,0)=6,"一致","差分あり")))</f>
        <v/>
      </c>
      <c r="AJ1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6" s="19" t="inlineStr"/>
      <c r="AL176" s="18" t="inlineStr">
        <is>
          <t>2026-06-29</t>
        </is>
      </c>
    </row>
    <row r="177" ht="22" customHeight="1">
      <c r="A177" s="17" t="inlineStr">
        <is>
          <t>1002406-LB0</t>
        </is>
      </c>
      <c r="B177" s="18" t="n">
        <v>1002406</v>
      </c>
      <c r="C177" s="17" t="inlineStr">
        <is>
          <t>SHiguchi06</t>
        </is>
      </c>
      <c r="D177" s="17" t="inlineStr">
        <is>
          <t>SHiguchi</t>
        </is>
      </c>
      <c r="E177" s="17" t="inlineStr">
        <is>
          <t>樋口 聖華</t>
        </is>
      </c>
      <c r="F177" s="19" t="inlineStr">
        <is>
          <t>暁のカタルシス</t>
        </is>
      </c>
      <c r="G177" s="18" t="inlineStr">
        <is>
          <t>SS</t>
        </is>
      </c>
      <c r="H177" s="17" t="inlineStr">
        <is>
          <t>Healer</t>
        </is>
      </c>
      <c r="I177" s="18" t="n">
        <v>0</v>
      </c>
      <c r="J177" s="18" t="n">
        <v>4</v>
      </c>
      <c r="K177" s="18" t="n">
        <v>394</v>
      </c>
      <c r="L177" s="18" t="n">
        <v>399</v>
      </c>
      <c r="M177" s="18" t="n">
        <v>452</v>
      </c>
      <c r="N177" s="18" t="n">
        <v>419</v>
      </c>
      <c r="O177" s="18" t="n">
        <v>386</v>
      </c>
      <c r="P177" s="18" t="n">
        <v>356</v>
      </c>
      <c r="Q177" s="18" t="n">
        <v>40</v>
      </c>
      <c r="R177" s="18" t="n">
        <v>40</v>
      </c>
      <c r="S177" s="18" t="n">
        <v>46</v>
      </c>
      <c r="T177" s="18" t="n">
        <v>42</v>
      </c>
      <c r="U177" s="18" t="n">
        <v>39</v>
      </c>
      <c r="V177" s="18" t="n">
        <v>36</v>
      </c>
      <c r="W177" s="20" t="n"/>
      <c r="X177" s="20" t="n"/>
      <c r="Y177" s="20" t="n"/>
      <c r="Z177" s="20" t="n"/>
      <c r="AA177" s="20" t="n"/>
      <c r="AB177" s="20" t="n"/>
      <c r="AC177" s="21">
        <f>IF(W177="","",W177-K177)</f>
        <v/>
      </c>
      <c r="AD177" s="21">
        <f>IF(X177="","",X177-L177)</f>
        <v/>
      </c>
      <c r="AE177" s="21">
        <f>IF(Y177="","",Y177-M177)</f>
        <v/>
      </c>
      <c r="AF177" s="21">
        <f>IF(Z177="","",Z177-N177)</f>
        <v/>
      </c>
      <c r="AG177" s="21">
        <f>IF(AA177="","",AA177-O177)</f>
        <v/>
      </c>
      <c r="AH177" s="21">
        <f>IF(AB177="","",AB177-P177)</f>
        <v/>
      </c>
      <c r="AI177" s="18">
        <f>IF(COUNTA(W177:AB177)=0,"未入力",IF(COUNTA(W177:AB177)&lt;6,"一部入力",IF(COUNTIF(AC177:AH177,0)=6,"一致","差分あり")))</f>
        <v/>
      </c>
      <c r="AJ1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7" s="19" t="inlineStr"/>
      <c r="AL177" s="18" t="inlineStr">
        <is>
          <t>2026-06-29</t>
        </is>
      </c>
    </row>
    <row r="178" ht="22" customHeight="1">
      <c r="A178" s="17" t="inlineStr">
        <is>
          <t>1002406-LB4</t>
        </is>
      </c>
      <c r="B178" s="18" t="n">
        <v>1002406</v>
      </c>
      <c r="C178" s="17" t="inlineStr">
        <is>
          <t>SHiguchi06</t>
        </is>
      </c>
      <c r="D178" s="17" t="inlineStr">
        <is>
          <t>SHiguchi</t>
        </is>
      </c>
      <c r="E178" s="17" t="inlineStr">
        <is>
          <t>樋口 聖華</t>
        </is>
      </c>
      <c r="F178" s="19" t="inlineStr">
        <is>
          <t>暁のカタルシス</t>
        </is>
      </c>
      <c r="G178" s="18" t="inlineStr">
        <is>
          <t>SS</t>
        </is>
      </c>
      <c r="H178" s="17" t="inlineStr">
        <is>
          <t>Healer</t>
        </is>
      </c>
      <c r="I178" s="18" t="n">
        <v>4</v>
      </c>
      <c r="J178" s="18" t="n">
        <v>4</v>
      </c>
      <c r="K178" s="18" t="n">
        <v>480</v>
      </c>
      <c r="L178" s="18" t="n">
        <v>486</v>
      </c>
      <c r="M178" s="18" t="n">
        <v>543</v>
      </c>
      <c r="N178" s="18" t="n">
        <v>508</v>
      </c>
      <c r="O178" s="18" t="n">
        <v>473</v>
      </c>
      <c r="P178" s="18" t="n">
        <v>442</v>
      </c>
      <c r="Q178" s="18" t="n">
        <v>48</v>
      </c>
      <c r="R178" s="18" t="n">
        <v>49</v>
      </c>
      <c r="S178" s="18" t="n">
        <v>55</v>
      </c>
      <c r="T178" s="18" t="n">
        <v>51</v>
      </c>
      <c r="U178" s="18" t="n">
        <v>48</v>
      </c>
      <c r="V178" s="18" t="n">
        <v>45</v>
      </c>
      <c r="W178" s="20" t="n"/>
      <c r="X178" s="20" t="n"/>
      <c r="Y178" s="20" t="n"/>
      <c r="Z178" s="20" t="n"/>
      <c r="AA178" s="20" t="n"/>
      <c r="AB178" s="20" t="n"/>
      <c r="AC178" s="21">
        <f>IF(W178="","",W178-K178)</f>
        <v/>
      </c>
      <c r="AD178" s="21">
        <f>IF(X178="","",X178-L178)</f>
        <v/>
      </c>
      <c r="AE178" s="21">
        <f>IF(Y178="","",Y178-M178)</f>
        <v/>
      </c>
      <c r="AF178" s="21">
        <f>IF(Z178="","",Z178-N178)</f>
        <v/>
      </c>
      <c r="AG178" s="21">
        <f>IF(AA178="","",AA178-O178)</f>
        <v/>
      </c>
      <c r="AH178" s="21">
        <f>IF(AB178="","",AB178-P178)</f>
        <v/>
      </c>
      <c r="AI178" s="18">
        <f>IF(COUNTA(W178:AB178)=0,"未入力",IF(COUNTA(W178:AB178)&lt;6,"一部入力",IF(COUNTIF(AC178:AH178,0)=6,"一致","差分あり")))</f>
        <v/>
      </c>
      <c r="AJ1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8" s="19" t="inlineStr"/>
      <c r="AL178" s="18" t="inlineStr">
        <is>
          <t>2026-06-29</t>
        </is>
      </c>
    </row>
    <row r="179" ht="22" customHeight="1">
      <c r="A179" s="17" t="inlineStr">
        <is>
          <t>1002407-LB0</t>
        </is>
      </c>
      <c r="B179" s="18" t="n">
        <v>1002407</v>
      </c>
      <c r="C179" s="17" t="inlineStr">
        <is>
          <t>SHiguchi07</t>
        </is>
      </c>
      <c r="D179" s="17" t="inlineStr">
        <is>
          <t>SHiguchi</t>
        </is>
      </c>
      <c r="E179" s="17" t="inlineStr">
        <is>
          <t>樋口 聖華</t>
        </is>
      </c>
      <c r="F179" s="19" t="inlineStr">
        <is>
          <t>サンセット・ユートピア</t>
        </is>
      </c>
      <c r="G179" s="18" t="inlineStr">
        <is>
          <t>SS</t>
        </is>
      </c>
      <c r="H179" s="17" t="inlineStr">
        <is>
          <t>Buffer</t>
        </is>
      </c>
      <c r="I179" s="18" t="n">
        <v>0</v>
      </c>
      <c r="J179" s="18" t="n">
        <v>4</v>
      </c>
      <c r="K179" s="18" t="n">
        <v>394</v>
      </c>
      <c r="L179" s="18" t="n">
        <v>399</v>
      </c>
      <c r="M179" s="18" t="n">
        <v>452</v>
      </c>
      <c r="N179" s="18" t="n">
        <v>419</v>
      </c>
      <c r="O179" s="18" t="n">
        <v>386</v>
      </c>
      <c r="P179" s="18" t="n">
        <v>356</v>
      </c>
      <c r="Q179" s="18" t="n">
        <v>40</v>
      </c>
      <c r="R179" s="18" t="n">
        <v>40</v>
      </c>
      <c r="S179" s="18" t="n">
        <v>46</v>
      </c>
      <c r="T179" s="18" t="n">
        <v>42</v>
      </c>
      <c r="U179" s="18" t="n">
        <v>39</v>
      </c>
      <c r="V179" s="18" t="n">
        <v>36</v>
      </c>
      <c r="W179" s="20" t="n"/>
      <c r="X179" s="20" t="n"/>
      <c r="Y179" s="20" t="n"/>
      <c r="Z179" s="20" t="n"/>
      <c r="AA179" s="20" t="n"/>
      <c r="AB179" s="20" t="n"/>
      <c r="AC179" s="21">
        <f>IF(W179="","",W179-K179)</f>
        <v/>
      </c>
      <c r="AD179" s="21">
        <f>IF(X179="","",X179-L179)</f>
        <v/>
      </c>
      <c r="AE179" s="21">
        <f>IF(Y179="","",Y179-M179)</f>
        <v/>
      </c>
      <c r="AF179" s="21">
        <f>IF(Z179="","",Z179-N179)</f>
        <v/>
      </c>
      <c r="AG179" s="21">
        <f>IF(AA179="","",AA179-O179)</f>
        <v/>
      </c>
      <c r="AH179" s="21">
        <f>IF(AB179="","",AB179-P179)</f>
        <v/>
      </c>
      <c r="AI179" s="18">
        <f>IF(COUNTA(W179:AB179)=0,"未入力",IF(COUNTA(W179:AB179)&lt;6,"一部入力",IF(COUNTIF(AC179:AH179,0)=6,"一致","差分あり")))</f>
        <v/>
      </c>
      <c r="AJ1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79" s="19" t="inlineStr"/>
      <c r="AL179" s="18" t="inlineStr">
        <is>
          <t>2026-06-29</t>
        </is>
      </c>
    </row>
    <row r="180" ht="22" customHeight="1">
      <c r="A180" s="17" t="inlineStr">
        <is>
          <t>1002407-LB4</t>
        </is>
      </c>
      <c r="B180" s="18" t="n">
        <v>1002407</v>
      </c>
      <c r="C180" s="17" t="inlineStr">
        <is>
          <t>SHiguchi07</t>
        </is>
      </c>
      <c r="D180" s="17" t="inlineStr">
        <is>
          <t>SHiguchi</t>
        </is>
      </c>
      <c r="E180" s="17" t="inlineStr">
        <is>
          <t>樋口 聖華</t>
        </is>
      </c>
      <c r="F180" s="19" t="inlineStr">
        <is>
          <t>サンセット・ユートピア</t>
        </is>
      </c>
      <c r="G180" s="18" t="inlineStr">
        <is>
          <t>SS</t>
        </is>
      </c>
      <c r="H180" s="17" t="inlineStr">
        <is>
          <t>Buffer</t>
        </is>
      </c>
      <c r="I180" s="18" t="n">
        <v>4</v>
      </c>
      <c r="J180" s="18" t="n">
        <v>4</v>
      </c>
      <c r="K180" s="18" t="n">
        <v>480</v>
      </c>
      <c r="L180" s="18" t="n">
        <v>486</v>
      </c>
      <c r="M180" s="18" t="n">
        <v>543</v>
      </c>
      <c r="N180" s="18" t="n">
        <v>508</v>
      </c>
      <c r="O180" s="18" t="n">
        <v>473</v>
      </c>
      <c r="P180" s="18" t="n">
        <v>442</v>
      </c>
      <c r="Q180" s="18" t="n">
        <v>48</v>
      </c>
      <c r="R180" s="18" t="n">
        <v>49</v>
      </c>
      <c r="S180" s="18" t="n">
        <v>55</v>
      </c>
      <c r="T180" s="18" t="n">
        <v>51</v>
      </c>
      <c r="U180" s="18" t="n">
        <v>48</v>
      </c>
      <c r="V180" s="18" t="n">
        <v>45</v>
      </c>
      <c r="W180" s="20" t="n"/>
      <c r="X180" s="20" t="n"/>
      <c r="Y180" s="20" t="n"/>
      <c r="Z180" s="20" t="n"/>
      <c r="AA180" s="20" t="n"/>
      <c r="AB180" s="20" t="n"/>
      <c r="AC180" s="21">
        <f>IF(W180="","",W180-K180)</f>
        <v/>
      </c>
      <c r="AD180" s="21">
        <f>IF(X180="","",X180-L180)</f>
        <v/>
      </c>
      <c r="AE180" s="21">
        <f>IF(Y180="","",Y180-M180)</f>
        <v/>
      </c>
      <c r="AF180" s="21">
        <f>IF(Z180="","",Z180-N180)</f>
        <v/>
      </c>
      <c r="AG180" s="21">
        <f>IF(AA180="","",AA180-O180)</f>
        <v/>
      </c>
      <c r="AH180" s="21">
        <f>IF(AB180="","",AB180-P180)</f>
        <v/>
      </c>
      <c r="AI180" s="18">
        <f>IF(COUNTA(W180:AB180)=0,"未入力",IF(COUNTA(W180:AB180)&lt;6,"一部入力",IF(COUNTIF(AC180:AH180,0)=6,"一致","差分あり")))</f>
        <v/>
      </c>
      <c r="AJ1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0" s="19" t="inlineStr"/>
      <c r="AL180" s="18" t="inlineStr">
        <is>
          <t>2026-06-29</t>
        </is>
      </c>
    </row>
    <row r="181" ht="22" customHeight="1">
      <c r="A181" s="17" t="inlineStr">
        <is>
          <t>1002501-LB0</t>
        </is>
      </c>
      <c r="B181" s="18" t="n">
        <v>1002501</v>
      </c>
      <c r="C181" s="17" t="inlineStr">
        <is>
          <t>KHiiragi01</t>
        </is>
      </c>
      <c r="D181" s="17" t="inlineStr">
        <is>
          <t>KHiiragi</t>
        </is>
      </c>
      <c r="E181" s="17" t="inlineStr">
        <is>
          <t>柊木 梢</t>
        </is>
      </c>
      <c r="F181" s="19" t="inlineStr">
        <is>
          <t>戦場の聳動</t>
        </is>
      </c>
      <c r="G181" s="18" t="inlineStr">
        <is>
          <t>A</t>
        </is>
      </c>
      <c r="H181" s="17" t="inlineStr">
        <is>
          <t>Debuffer</t>
        </is>
      </c>
      <c r="I181" s="18" t="n">
        <v>0</v>
      </c>
      <c r="J181" s="18" t="n">
        <v>20</v>
      </c>
      <c r="K181" s="18" t="n">
        <v>291</v>
      </c>
      <c r="L181" s="18" t="n">
        <v>247</v>
      </c>
      <c r="M181" s="18" t="n">
        <v>251</v>
      </c>
      <c r="N181" s="18" t="n">
        <v>283</v>
      </c>
      <c r="O181" s="18" t="n">
        <v>282</v>
      </c>
      <c r="P181" s="18" t="n">
        <v>282</v>
      </c>
      <c r="Q181" s="18" t="n">
        <v>30</v>
      </c>
      <c r="R181" s="18" t="n">
        <v>25</v>
      </c>
      <c r="S181" s="18" t="n">
        <v>26</v>
      </c>
      <c r="T181" s="18" t="n">
        <v>29</v>
      </c>
      <c r="U181" s="18" t="n">
        <v>29</v>
      </c>
      <c r="V181" s="18" t="n">
        <v>29</v>
      </c>
      <c r="W181" s="20" t="n"/>
      <c r="X181" s="20" t="n"/>
      <c r="Y181" s="20" t="n"/>
      <c r="Z181" s="20" t="n"/>
      <c r="AA181" s="20" t="n"/>
      <c r="AB181" s="20" t="n"/>
      <c r="AC181" s="21">
        <f>IF(W181="","",W181-K181)</f>
        <v/>
      </c>
      <c r="AD181" s="21">
        <f>IF(X181="","",X181-L181)</f>
        <v/>
      </c>
      <c r="AE181" s="21">
        <f>IF(Y181="","",Y181-M181)</f>
        <v/>
      </c>
      <c r="AF181" s="21">
        <f>IF(Z181="","",Z181-N181)</f>
        <v/>
      </c>
      <c r="AG181" s="21">
        <f>IF(AA181="","",AA181-O181)</f>
        <v/>
      </c>
      <c r="AH181" s="21">
        <f>IF(AB181="","",AB181-P181)</f>
        <v/>
      </c>
      <c r="AI181" s="18">
        <f>IF(COUNTA(W181:AB181)=0,"未入力",IF(COUNTA(W181:AB181)&lt;6,"一部入力",IF(COUNTIF(AC181:AH181,0)=6,"一致","差分あり")))</f>
        <v/>
      </c>
      <c r="AJ1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1" s="19" t="inlineStr"/>
      <c r="AL181" s="18" t="inlineStr">
        <is>
          <t>2026-06-29</t>
        </is>
      </c>
    </row>
    <row r="182" ht="22" customHeight="1">
      <c r="A182" s="17" t="inlineStr">
        <is>
          <t>1002501-LB20</t>
        </is>
      </c>
      <c r="B182" s="18" t="n">
        <v>1002501</v>
      </c>
      <c r="C182" s="17" t="inlineStr">
        <is>
          <t>KHiiragi01</t>
        </is>
      </c>
      <c r="D182" s="17" t="inlineStr">
        <is>
          <t>KHiiragi</t>
        </is>
      </c>
      <c r="E182" s="17" t="inlineStr">
        <is>
          <t>柊木 梢</t>
        </is>
      </c>
      <c r="F182" s="19" t="inlineStr">
        <is>
          <t>戦場の聳動</t>
        </is>
      </c>
      <c r="G182" s="18" t="inlineStr">
        <is>
          <t>A</t>
        </is>
      </c>
      <c r="H182" s="17" t="inlineStr">
        <is>
          <t>Debuffer</t>
        </is>
      </c>
      <c r="I182" s="18" t="n">
        <v>20</v>
      </c>
      <c r="J182" s="18" t="n">
        <v>20</v>
      </c>
      <c r="K182" s="18" t="n">
        <v>337</v>
      </c>
      <c r="L182" s="18" t="n">
        <v>291</v>
      </c>
      <c r="M182" s="18" t="n">
        <v>295</v>
      </c>
      <c r="N182" s="18" t="n">
        <v>327</v>
      </c>
      <c r="O182" s="18" t="n">
        <v>326</v>
      </c>
      <c r="P182" s="18" t="n">
        <v>325</v>
      </c>
      <c r="Q182" s="18" t="n">
        <v>34</v>
      </c>
      <c r="R182" s="18" t="n">
        <v>30</v>
      </c>
      <c r="S182" s="18" t="n">
        <v>30</v>
      </c>
      <c r="T182" s="18" t="n">
        <v>33</v>
      </c>
      <c r="U182" s="18" t="n">
        <v>33</v>
      </c>
      <c r="V182" s="18" t="n">
        <v>33</v>
      </c>
      <c r="W182" s="20" t="n"/>
      <c r="X182" s="20" t="n"/>
      <c r="Y182" s="20" t="n"/>
      <c r="Z182" s="20" t="n"/>
      <c r="AA182" s="20" t="n"/>
      <c r="AB182" s="20" t="n"/>
      <c r="AC182" s="21">
        <f>IF(W182="","",W182-K182)</f>
        <v/>
      </c>
      <c r="AD182" s="21">
        <f>IF(X182="","",X182-L182)</f>
        <v/>
      </c>
      <c r="AE182" s="21">
        <f>IF(Y182="","",Y182-M182)</f>
        <v/>
      </c>
      <c r="AF182" s="21">
        <f>IF(Z182="","",Z182-N182)</f>
        <v/>
      </c>
      <c r="AG182" s="21">
        <f>IF(AA182="","",AA182-O182)</f>
        <v/>
      </c>
      <c r="AH182" s="21">
        <f>IF(AB182="","",AB182-P182)</f>
        <v/>
      </c>
      <c r="AI182" s="18">
        <f>IF(COUNTA(W182:AB182)=0,"未入力",IF(COUNTA(W182:AB182)&lt;6,"一部入力",IF(COUNTIF(AC182:AH182,0)=6,"一致","差分あり")))</f>
        <v/>
      </c>
      <c r="AJ1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2" s="19" t="inlineStr"/>
      <c r="AL182" s="18" t="inlineStr">
        <is>
          <t>2026-06-29</t>
        </is>
      </c>
    </row>
    <row r="183" ht="22" customHeight="1">
      <c r="A183" s="17" t="inlineStr">
        <is>
          <t>1002502-LB0</t>
        </is>
      </c>
      <c r="B183" s="18" t="n">
        <v>1002502</v>
      </c>
      <c r="C183" s="17" t="inlineStr">
        <is>
          <t>KHiiragi02</t>
        </is>
      </c>
      <c r="D183" s="17" t="inlineStr">
        <is>
          <t>KHiiragi</t>
        </is>
      </c>
      <c r="E183" s="17" t="inlineStr">
        <is>
          <t>柊木 梢</t>
        </is>
      </c>
      <c r="F183" s="19" t="inlineStr">
        <is>
          <t>在りし日の雑踏</t>
        </is>
      </c>
      <c r="G183" s="18" t="inlineStr">
        <is>
          <t>S</t>
        </is>
      </c>
      <c r="H183" s="17" t="inlineStr">
        <is>
          <t>Debuffer</t>
        </is>
      </c>
      <c r="I183" s="18" t="n">
        <v>0</v>
      </c>
      <c r="J183" s="18" t="n">
        <v>10</v>
      </c>
      <c r="K183" s="18" t="n">
        <v>320</v>
      </c>
      <c r="L183" s="18" t="n">
        <v>318</v>
      </c>
      <c r="M183" s="18" t="n">
        <v>356</v>
      </c>
      <c r="N183" s="18" t="n">
        <v>354</v>
      </c>
      <c r="O183" s="18" t="n">
        <v>309</v>
      </c>
      <c r="P183" s="18" t="n">
        <v>298</v>
      </c>
      <c r="Q183" s="18" t="n">
        <v>32</v>
      </c>
      <c r="R183" s="18" t="n">
        <v>32</v>
      </c>
      <c r="S183" s="18" t="n">
        <v>36</v>
      </c>
      <c r="T183" s="18" t="n">
        <v>36</v>
      </c>
      <c r="U183" s="18" t="n">
        <v>31</v>
      </c>
      <c r="V183" s="18" t="n">
        <v>30</v>
      </c>
      <c r="W183" s="20" t="n"/>
      <c r="X183" s="20" t="n"/>
      <c r="Y183" s="20" t="n"/>
      <c r="Z183" s="20" t="n"/>
      <c r="AA183" s="20" t="n"/>
      <c r="AB183" s="20" t="n"/>
      <c r="AC183" s="21">
        <f>IF(W183="","",W183-K183)</f>
        <v/>
      </c>
      <c r="AD183" s="21">
        <f>IF(X183="","",X183-L183)</f>
        <v/>
      </c>
      <c r="AE183" s="21">
        <f>IF(Y183="","",Y183-M183)</f>
        <v/>
      </c>
      <c r="AF183" s="21">
        <f>IF(Z183="","",Z183-N183)</f>
        <v/>
      </c>
      <c r="AG183" s="21">
        <f>IF(AA183="","",AA183-O183)</f>
        <v/>
      </c>
      <c r="AH183" s="21">
        <f>IF(AB183="","",AB183-P183)</f>
        <v/>
      </c>
      <c r="AI183" s="18">
        <f>IF(COUNTA(W183:AB183)=0,"未入力",IF(COUNTA(W183:AB183)&lt;6,"一部入力",IF(COUNTIF(AC183:AH183,0)=6,"一致","差分あり")))</f>
        <v/>
      </c>
      <c r="AJ1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3" s="19" t="inlineStr"/>
      <c r="AL183" s="18" t="inlineStr">
        <is>
          <t>2026-06-29</t>
        </is>
      </c>
    </row>
    <row r="184" ht="22" customHeight="1">
      <c r="A184" s="17" t="inlineStr">
        <is>
          <t>1002502-LB10</t>
        </is>
      </c>
      <c r="B184" s="18" t="n">
        <v>1002502</v>
      </c>
      <c r="C184" s="17" t="inlineStr">
        <is>
          <t>KHiiragi02</t>
        </is>
      </c>
      <c r="D184" s="17" t="inlineStr">
        <is>
          <t>KHiiragi</t>
        </is>
      </c>
      <c r="E184" s="17" t="inlineStr">
        <is>
          <t>柊木 梢</t>
        </is>
      </c>
      <c r="F184" s="19" t="inlineStr">
        <is>
          <t>在りし日の雑踏</t>
        </is>
      </c>
      <c r="G184" s="18" t="inlineStr">
        <is>
          <t>S</t>
        </is>
      </c>
      <c r="H184" s="17" t="inlineStr">
        <is>
          <t>Debuffer</t>
        </is>
      </c>
      <c r="I184" s="18" t="n">
        <v>10</v>
      </c>
      <c r="J184" s="18" t="n">
        <v>10</v>
      </c>
      <c r="K184" s="18" t="n">
        <v>386</v>
      </c>
      <c r="L184" s="18" t="n">
        <v>384</v>
      </c>
      <c r="M184" s="18" t="n">
        <v>423</v>
      </c>
      <c r="N184" s="18" t="n">
        <v>421</v>
      </c>
      <c r="O184" s="18" t="n">
        <v>375</v>
      </c>
      <c r="P184" s="18" t="n">
        <v>362</v>
      </c>
      <c r="Q184" s="18" t="n">
        <v>39</v>
      </c>
      <c r="R184" s="18" t="n">
        <v>39</v>
      </c>
      <c r="S184" s="18" t="n">
        <v>43</v>
      </c>
      <c r="T184" s="18" t="n">
        <v>43</v>
      </c>
      <c r="U184" s="18" t="n">
        <v>38</v>
      </c>
      <c r="V184" s="18" t="n">
        <v>37</v>
      </c>
      <c r="W184" s="20" t="n"/>
      <c r="X184" s="20" t="n"/>
      <c r="Y184" s="20" t="n"/>
      <c r="Z184" s="20" t="n"/>
      <c r="AA184" s="20" t="n"/>
      <c r="AB184" s="20" t="n"/>
      <c r="AC184" s="21">
        <f>IF(W184="","",W184-K184)</f>
        <v/>
      </c>
      <c r="AD184" s="21">
        <f>IF(X184="","",X184-L184)</f>
        <v/>
      </c>
      <c r="AE184" s="21">
        <f>IF(Y184="","",Y184-M184)</f>
        <v/>
      </c>
      <c r="AF184" s="21">
        <f>IF(Z184="","",Z184-N184)</f>
        <v/>
      </c>
      <c r="AG184" s="21">
        <f>IF(AA184="","",AA184-O184)</f>
        <v/>
      </c>
      <c r="AH184" s="21">
        <f>IF(AB184="","",AB184-P184)</f>
        <v/>
      </c>
      <c r="AI184" s="18">
        <f>IF(COUNTA(W184:AB184)=0,"未入力",IF(COUNTA(W184:AB184)&lt;6,"一部入力",IF(COUNTIF(AC184:AH184,0)=6,"一致","差分あり")))</f>
        <v/>
      </c>
      <c r="AJ1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4" s="19" t="inlineStr"/>
      <c r="AL184" s="18" t="inlineStr">
        <is>
          <t>2026-06-29</t>
        </is>
      </c>
    </row>
    <row r="185" ht="22" customHeight="1">
      <c r="A185" s="17" t="inlineStr">
        <is>
          <t>1002503-LB0</t>
        </is>
      </c>
      <c r="B185" s="18" t="n">
        <v>1002503</v>
      </c>
      <c r="C185" s="17" t="inlineStr">
        <is>
          <t>KHiiragi03</t>
        </is>
      </c>
      <c r="D185" s="17" t="inlineStr">
        <is>
          <t>KHiiragi</t>
        </is>
      </c>
      <c r="E185" s="17" t="inlineStr">
        <is>
          <t>柊木 梢</t>
        </is>
      </c>
      <c r="F185" s="19" t="inlineStr">
        <is>
          <t>蒼きノクターン</t>
        </is>
      </c>
      <c r="G185" s="18" t="inlineStr">
        <is>
          <t>SS</t>
        </is>
      </c>
      <c r="H185" s="17" t="inlineStr">
        <is>
          <t>Debuffer</t>
        </is>
      </c>
      <c r="I185" s="18" t="n">
        <v>0</v>
      </c>
      <c r="J185" s="18" t="n">
        <v>4</v>
      </c>
      <c r="K185" s="18" t="n">
        <v>345</v>
      </c>
      <c r="L185" s="18" t="n">
        <v>413</v>
      </c>
      <c r="M185" s="18" t="n">
        <v>383</v>
      </c>
      <c r="N185" s="18" t="n">
        <v>368</v>
      </c>
      <c r="O185" s="18" t="n">
        <v>393</v>
      </c>
      <c r="P185" s="18" t="n">
        <v>368</v>
      </c>
      <c r="Q185" s="18" t="n">
        <v>35</v>
      </c>
      <c r="R185" s="18" t="n">
        <v>42</v>
      </c>
      <c r="S185" s="18" t="n">
        <v>39</v>
      </c>
      <c r="T185" s="18" t="n">
        <v>37</v>
      </c>
      <c r="U185" s="18" t="n">
        <v>40</v>
      </c>
      <c r="V185" s="18" t="n">
        <v>37</v>
      </c>
      <c r="W185" s="20" t="n"/>
      <c r="X185" s="20" t="n"/>
      <c r="Y185" s="20" t="n"/>
      <c r="Z185" s="20" t="n"/>
      <c r="AA185" s="20" t="n"/>
      <c r="AB185" s="20" t="n"/>
      <c r="AC185" s="21">
        <f>IF(W185="","",W185-K185)</f>
        <v/>
      </c>
      <c r="AD185" s="21">
        <f>IF(X185="","",X185-L185)</f>
        <v/>
      </c>
      <c r="AE185" s="21">
        <f>IF(Y185="","",Y185-M185)</f>
        <v/>
      </c>
      <c r="AF185" s="21">
        <f>IF(Z185="","",Z185-N185)</f>
        <v/>
      </c>
      <c r="AG185" s="21">
        <f>IF(AA185="","",AA185-O185)</f>
        <v/>
      </c>
      <c r="AH185" s="21">
        <f>IF(AB185="","",AB185-P185)</f>
        <v/>
      </c>
      <c r="AI185" s="18">
        <f>IF(COUNTA(W185:AB185)=0,"未入力",IF(COUNTA(W185:AB185)&lt;6,"一部入力",IF(COUNTIF(AC185:AH185,0)=6,"一致","差分あり")))</f>
        <v/>
      </c>
      <c r="AJ1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5" s="19" t="inlineStr"/>
      <c r="AL185" s="18" t="inlineStr">
        <is>
          <t>2026-06-29</t>
        </is>
      </c>
    </row>
    <row r="186" ht="22" customHeight="1">
      <c r="A186" s="17" t="inlineStr">
        <is>
          <t>1002503-LB4</t>
        </is>
      </c>
      <c r="B186" s="18" t="n">
        <v>1002503</v>
      </c>
      <c r="C186" s="17" t="inlineStr">
        <is>
          <t>KHiiragi03</t>
        </is>
      </c>
      <c r="D186" s="17" t="inlineStr">
        <is>
          <t>KHiiragi</t>
        </is>
      </c>
      <c r="E186" s="17" t="inlineStr">
        <is>
          <t>柊木 梢</t>
        </is>
      </c>
      <c r="F186" s="19" t="inlineStr">
        <is>
          <t>蒼きノクターン</t>
        </is>
      </c>
      <c r="G186" s="18" t="inlineStr">
        <is>
          <t>SS</t>
        </is>
      </c>
      <c r="H186" s="17" t="inlineStr">
        <is>
          <t>Debuffer</t>
        </is>
      </c>
      <c r="I186" s="18" t="n">
        <v>4</v>
      </c>
      <c r="J186" s="18" t="n">
        <v>4</v>
      </c>
      <c r="K186" s="18" t="n">
        <v>433</v>
      </c>
      <c r="L186" s="18" t="n">
        <v>501</v>
      </c>
      <c r="M186" s="18" t="n">
        <v>472</v>
      </c>
      <c r="N186" s="18" t="n">
        <v>457</v>
      </c>
      <c r="O186" s="18" t="n">
        <v>481</v>
      </c>
      <c r="P186" s="18" t="n">
        <v>453</v>
      </c>
      <c r="Q186" s="18" t="n">
        <v>44</v>
      </c>
      <c r="R186" s="18" t="n">
        <v>51</v>
      </c>
      <c r="S186" s="18" t="n">
        <v>48</v>
      </c>
      <c r="T186" s="18" t="n">
        <v>46</v>
      </c>
      <c r="U186" s="18" t="n">
        <v>49</v>
      </c>
      <c r="V186" s="18" t="n">
        <v>46</v>
      </c>
      <c r="W186" s="20" t="n"/>
      <c r="X186" s="20" t="n"/>
      <c r="Y186" s="20" t="n"/>
      <c r="Z186" s="20" t="n"/>
      <c r="AA186" s="20" t="n"/>
      <c r="AB186" s="20" t="n"/>
      <c r="AC186" s="21">
        <f>IF(W186="","",W186-K186)</f>
        <v/>
      </c>
      <c r="AD186" s="21">
        <f>IF(X186="","",X186-L186)</f>
        <v/>
      </c>
      <c r="AE186" s="21">
        <f>IF(Y186="","",Y186-M186)</f>
        <v/>
      </c>
      <c r="AF186" s="21">
        <f>IF(Z186="","",Z186-N186)</f>
        <v/>
      </c>
      <c r="AG186" s="21">
        <f>IF(AA186="","",AA186-O186)</f>
        <v/>
      </c>
      <c r="AH186" s="21">
        <f>IF(AB186="","",AB186-P186)</f>
        <v/>
      </c>
      <c r="AI186" s="18">
        <f>IF(COUNTA(W186:AB186)=0,"未入力",IF(COUNTA(W186:AB186)&lt;6,"一部入力",IF(COUNTIF(AC186:AH186,0)=6,"一致","差分あり")))</f>
        <v/>
      </c>
      <c r="AJ1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6" s="19" t="inlineStr"/>
      <c r="AL186" s="18" t="inlineStr">
        <is>
          <t>2026-06-29</t>
        </is>
      </c>
    </row>
    <row r="187" ht="22" customHeight="1">
      <c r="A187" s="17" t="inlineStr">
        <is>
          <t>1002504-LB0</t>
        </is>
      </c>
      <c r="B187" s="18" t="n">
        <v>1002504</v>
      </c>
      <c r="C187" s="17" t="inlineStr">
        <is>
          <t>KHiiragi04</t>
        </is>
      </c>
      <c r="D187" s="17" t="inlineStr">
        <is>
          <t>KHiiragi</t>
        </is>
      </c>
      <c r="E187" s="17" t="inlineStr">
        <is>
          <t>柊木 梢</t>
        </is>
      </c>
      <c r="F187" s="19" t="inlineStr">
        <is>
          <t>終劇のナイトフォール</t>
        </is>
      </c>
      <c r="G187" s="18" t="inlineStr">
        <is>
          <t>SS</t>
        </is>
      </c>
      <c r="H187" s="17" t="inlineStr">
        <is>
          <t>Debuffer</t>
        </is>
      </c>
      <c r="I187" s="18" t="n">
        <v>0</v>
      </c>
      <c r="J187" s="18" t="n">
        <v>4</v>
      </c>
      <c r="K187" s="18" t="n">
        <v>367</v>
      </c>
      <c r="L187" s="18" t="n">
        <v>435</v>
      </c>
      <c r="M187" s="18" t="n">
        <v>405</v>
      </c>
      <c r="N187" s="18" t="n">
        <v>391</v>
      </c>
      <c r="O187" s="18" t="n">
        <v>415</v>
      </c>
      <c r="P187" s="18" t="n">
        <v>389</v>
      </c>
      <c r="Q187" s="18" t="n">
        <v>37</v>
      </c>
      <c r="R187" s="18" t="n">
        <v>44</v>
      </c>
      <c r="S187" s="18" t="n">
        <v>41</v>
      </c>
      <c r="T187" s="18" t="n">
        <v>40</v>
      </c>
      <c r="U187" s="18" t="n">
        <v>42</v>
      </c>
      <c r="V187" s="18" t="n">
        <v>39</v>
      </c>
      <c r="W187" s="20" t="n"/>
      <c r="X187" s="20" t="n"/>
      <c r="Y187" s="20" t="n"/>
      <c r="Z187" s="20" t="n"/>
      <c r="AA187" s="20" t="n"/>
      <c r="AB187" s="20" t="n"/>
      <c r="AC187" s="21">
        <f>IF(W187="","",W187-K187)</f>
        <v/>
      </c>
      <c r="AD187" s="21">
        <f>IF(X187="","",X187-L187)</f>
        <v/>
      </c>
      <c r="AE187" s="21">
        <f>IF(Y187="","",Y187-M187)</f>
        <v/>
      </c>
      <c r="AF187" s="21">
        <f>IF(Z187="","",Z187-N187)</f>
        <v/>
      </c>
      <c r="AG187" s="21">
        <f>IF(AA187="","",AA187-O187)</f>
        <v/>
      </c>
      <c r="AH187" s="21">
        <f>IF(AB187="","",AB187-P187)</f>
        <v/>
      </c>
      <c r="AI187" s="18">
        <f>IF(COUNTA(W187:AB187)=0,"未入力",IF(COUNTA(W187:AB187)&lt;6,"一部入力",IF(COUNTIF(AC187:AH187,0)=6,"一致","差分あり")))</f>
        <v/>
      </c>
      <c r="AJ1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7" s="19" t="inlineStr"/>
      <c r="AL187" s="18" t="inlineStr">
        <is>
          <t>2026-06-29</t>
        </is>
      </c>
    </row>
    <row r="188" ht="22" customHeight="1">
      <c r="A188" s="17" t="inlineStr">
        <is>
          <t>1002504-LB4</t>
        </is>
      </c>
      <c r="B188" s="18" t="n">
        <v>1002504</v>
      </c>
      <c r="C188" s="17" t="inlineStr">
        <is>
          <t>KHiiragi04</t>
        </is>
      </c>
      <c r="D188" s="17" t="inlineStr">
        <is>
          <t>KHiiragi</t>
        </is>
      </c>
      <c r="E188" s="17" t="inlineStr">
        <is>
          <t>柊木 梢</t>
        </is>
      </c>
      <c r="F188" s="19" t="inlineStr">
        <is>
          <t>終劇のナイトフォール</t>
        </is>
      </c>
      <c r="G188" s="18" t="inlineStr">
        <is>
          <t>SS</t>
        </is>
      </c>
      <c r="H188" s="17" t="inlineStr">
        <is>
          <t>Debuffer</t>
        </is>
      </c>
      <c r="I188" s="18" t="n">
        <v>4</v>
      </c>
      <c r="J188" s="18" t="n">
        <v>4</v>
      </c>
      <c r="K188" s="18" t="n">
        <v>455</v>
      </c>
      <c r="L188" s="18" t="n">
        <v>523</v>
      </c>
      <c r="M188" s="18" t="n">
        <v>495</v>
      </c>
      <c r="N188" s="18" t="n">
        <v>479</v>
      </c>
      <c r="O188" s="18" t="n">
        <v>504</v>
      </c>
      <c r="P188" s="18" t="n">
        <v>474</v>
      </c>
      <c r="Q188" s="18" t="n">
        <v>46</v>
      </c>
      <c r="R188" s="18" t="n">
        <v>53</v>
      </c>
      <c r="S188" s="18" t="n">
        <v>50</v>
      </c>
      <c r="T188" s="18" t="n">
        <v>48</v>
      </c>
      <c r="U188" s="18" t="n">
        <v>51</v>
      </c>
      <c r="V188" s="18" t="n">
        <v>48</v>
      </c>
      <c r="W188" s="20" t="n"/>
      <c r="X188" s="20" t="n"/>
      <c r="Y188" s="20" t="n"/>
      <c r="Z188" s="20" t="n"/>
      <c r="AA188" s="20" t="n"/>
      <c r="AB188" s="20" t="n"/>
      <c r="AC188" s="21">
        <f>IF(W188="","",W188-K188)</f>
        <v/>
      </c>
      <c r="AD188" s="21">
        <f>IF(X188="","",X188-L188)</f>
        <v/>
      </c>
      <c r="AE188" s="21">
        <f>IF(Y188="","",Y188-M188)</f>
        <v/>
      </c>
      <c r="AF188" s="21">
        <f>IF(Z188="","",Z188-N188)</f>
        <v/>
      </c>
      <c r="AG188" s="21">
        <f>IF(AA188="","",AA188-O188)</f>
        <v/>
      </c>
      <c r="AH188" s="21">
        <f>IF(AB188="","",AB188-P188)</f>
        <v/>
      </c>
      <c r="AI188" s="18">
        <f>IF(COUNTA(W188:AB188)=0,"未入力",IF(COUNTA(W188:AB188)&lt;6,"一部入力",IF(COUNTIF(AC188:AH188,0)=6,"一致","差分あり")))</f>
        <v/>
      </c>
      <c r="AJ1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8" s="19" t="inlineStr"/>
      <c r="AL188" s="18" t="inlineStr">
        <is>
          <t>2026-06-29</t>
        </is>
      </c>
    </row>
    <row r="189" ht="22" customHeight="1">
      <c r="A189" s="17" t="inlineStr">
        <is>
          <t>1002505-LB0</t>
        </is>
      </c>
      <c r="B189" s="18" t="n">
        <v>1002505</v>
      </c>
      <c r="C189" s="17" t="inlineStr">
        <is>
          <t>KHiiragi05</t>
        </is>
      </c>
      <c r="D189" s="17" t="inlineStr">
        <is>
          <t>KHiiragi</t>
        </is>
      </c>
      <c r="E189" s="17" t="inlineStr">
        <is>
          <t>柊木 梢</t>
        </is>
      </c>
      <c r="F189" s="19" t="inlineStr">
        <is>
          <t>ホップ・ステップ・スリップ！</t>
        </is>
      </c>
      <c r="G189" s="18" t="inlineStr">
        <is>
          <t>SS</t>
        </is>
      </c>
      <c r="H189" s="17" t="inlineStr">
        <is>
          <t>Buffer</t>
        </is>
      </c>
      <c r="I189" s="18" t="n">
        <v>0</v>
      </c>
      <c r="J189" s="18" t="n">
        <v>4</v>
      </c>
      <c r="K189" s="18" t="n">
        <v>402</v>
      </c>
      <c r="L189" s="18" t="n">
        <v>400</v>
      </c>
      <c r="M189" s="18" t="n">
        <v>441</v>
      </c>
      <c r="N189" s="18" t="n">
        <v>417</v>
      </c>
      <c r="O189" s="18" t="n">
        <v>389</v>
      </c>
      <c r="P189" s="18" t="n">
        <v>355</v>
      </c>
      <c r="Q189" s="18" t="n">
        <v>41</v>
      </c>
      <c r="R189" s="18" t="n">
        <v>40</v>
      </c>
      <c r="S189" s="18" t="n">
        <v>45</v>
      </c>
      <c r="T189" s="18" t="n">
        <v>42</v>
      </c>
      <c r="U189" s="18" t="n">
        <v>39</v>
      </c>
      <c r="V189" s="18" t="n">
        <v>36</v>
      </c>
      <c r="W189" s="20" t="n"/>
      <c r="X189" s="20" t="n"/>
      <c r="Y189" s="20" t="n"/>
      <c r="Z189" s="20" t="n"/>
      <c r="AA189" s="20" t="n"/>
      <c r="AB189" s="20" t="n"/>
      <c r="AC189" s="21">
        <f>IF(W189="","",W189-K189)</f>
        <v/>
      </c>
      <c r="AD189" s="21">
        <f>IF(X189="","",X189-L189)</f>
        <v/>
      </c>
      <c r="AE189" s="21">
        <f>IF(Y189="","",Y189-M189)</f>
        <v/>
      </c>
      <c r="AF189" s="21">
        <f>IF(Z189="","",Z189-N189)</f>
        <v/>
      </c>
      <c r="AG189" s="21">
        <f>IF(AA189="","",AA189-O189)</f>
        <v/>
      </c>
      <c r="AH189" s="21">
        <f>IF(AB189="","",AB189-P189)</f>
        <v/>
      </c>
      <c r="AI189" s="18">
        <f>IF(COUNTA(W189:AB189)=0,"未入力",IF(COUNTA(W189:AB189)&lt;6,"一部入力",IF(COUNTIF(AC189:AH189,0)=6,"一致","差分あり")))</f>
        <v/>
      </c>
      <c r="AJ1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89" s="19" t="inlineStr"/>
      <c r="AL189" s="18" t="inlineStr">
        <is>
          <t>2026-06-29</t>
        </is>
      </c>
    </row>
    <row r="190" ht="22" customHeight="1">
      <c r="A190" s="17" t="inlineStr">
        <is>
          <t>1002505-LB4</t>
        </is>
      </c>
      <c r="B190" s="18" t="n">
        <v>1002505</v>
      </c>
      <c r="C190" s="17" t="inlineStr">
        <is>
          <t>KHiiragi05</t>
        </is>
      </c>
      <c r="D190" s="17" t="inlineStr">
        <is>
          <t>KHiiragi</t>
        </is>
      </c>
      <c r="E190" s="17" t="inlineStr">
        <is>
          <t>柊木 梢</t>
        </is>
      </c>
      <c r="F190" s="19" t="inlineStr">
        <is>
          <t>ホップ・ステップ・スリップ！</t>
        </is>
      </c>
      <c r="G190" s="18" t="inlineStr">
        <is>
          <t>SS</t>
        </is>
      </c>
      <c r="H190" s="17" t="inlineStr">
        <is>
          <t>Buffer</t>
        </is>
      </c>
      <c r="I190" s="18" t="n">
        <v>4</v>
      </c>
      <c r="J190" s="18" t="n">
        <v>4</v>
      </c>
      <c r="K190" s="18" t="n">
        <v>491</v>
      </c>
      <c r="L190" s="18" t="n">
        <v>488</v>
      </c>
      <c r="M190" s="18" t="n">
        <v>530</v>
      </c>
      <c r="N190" s="18" t="n">
        <v>506</v>
      </c>
      <c r="O190" s="18" t="n">
        <v>477</v>
      </c>
      <c r="P190" s="18" t="n">
        <v>440</v>
      </c>
      <c r="Q190" s="18" t="n">
        <v>50</v>
      </c>
      <c r="R190" s="18" t="n">
        <v>49</v>
      </c>
      <c r="S190" s="18" t="n">
        <v>53</v>
      </c>
      <c r="T190" s="18" t="n">
        <v>51</v>
      </c>
      <c r="U190" s="18" t="n">
        <v>48</v>
      </c>
      <c r="V190" s="18" t="n">
        <v>44</v>
      </c>
      <c r="W190" s="20" t="n"/>
      <c r="X190" s="20" t="n"/>
      <c r="Y190" s="20" t="n"/>
      <c r="Z190" s="20" t="n"/>
      <c r="AA190" s="20" t="n"/>
      <c r="AB190" s="20" t="n"/>
      <c r="AC190" s="21">
        <f>IF(W190="","",W190-K190)</f>
        <v/>
      </c>
      <c r="AD190" s="21">
        <f>IF(X190="","",X190-L190)</f>
        <v/>
      </c>
      <c r="AE190" s="21">
        <f>IF(Y190="","",Y190-M190)</f>
        <v/>
      </c>
      <c r="AF190" s="21">
        <f>IF(Z190="","",Z190-N190)</f>
        <v/>
      </c>
      <c r="AG190" s="21">
        <f>IF(AA190="","",AA190-O190)</f>
        <v/>
      </c>
      <c r="AH190" s="21">
        <f>IF(AB190="","",AB190-P190)</f>
        <v/>
      </c>
      <c r="AI190" s="18">
        <f>IF(COUNTA(W190:AB190)=0,"未入力",IF(COUNTA(W190:AB190)&lt;6,"一部入力",IF(COUNTIF(AC190:AH190,0)=6,"一致","差分あり")))</f>
        <v/>
      </c>
      <c r="AJ1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0" s="19" t="inlineStr"/>
      <c r="AL190" s="18" t="inlineStr">
        <is>
          <t>2026-06-29</t>
        </is>
      </c>
    </row>
    <row r="191" ht="22" customHeight="1">
      <c r="A191" s="17" t="inlineStr">
        <is>
          <t>1002506-LB0</t>
        </is>
      </c>
      <c r="B191" s="18" t="n">
        <v>1002506</v>
      </c>
      <c r="C191" s="17" t="inlineStr">
        <is>
          <t>KHiiragi06</t>
        </is>
      </c>
      <c r="D191" s="17" t="inlineStr">
        <is>
          <t>KHiiragi</t>
        </is>
      </c>
      <c r="E191" s="17" t="inlineStr">
        <is>
          <t>柊木 梢</t>
        </is>
      </c>
      <c r="F191" s="19" t="inlineStr">
        <is>
          <t>プールサイド・モーメント</t>
        </is>
      </c>
      <c r="G191" s="18" t="inlineStr">
        <is>
          <t>SS</t>
        </is>
      </c>
      <c r="H191" s="17" t="inlineStr">
        <is>
          <t>Blaster</t>
        </is>
      </c>
      <c r="I191" s="18" t="n">
        <v>0</v>
      </c>
      <c r="J191" s="18" t="n">
        <v>4</v>
      </c>
      <c r="K191" s="18" t="n">
        <v>437</v>
      </c>
      <c r="L191" s="18" t="n">
        <v>365</v>
      </c>
      <c r="M191" s="18" t="n">
        <v>392</v>
      </c>
      <c r="N191" s="18" t="n">
        <v>404</v>
      </c>
      <c r="O191" s="18" t="n">
        <v>402</v>
      </c>
      <c r="P191" s="18" t="n">
        <v>402</v>
      </c>
      <c r="Q191" s="18" t="n">
        <v>44</v>
      </c>
      <c r="R191" s="18" t="n">
        <v>37</v>
      </c>
      <c r="S191" s="18" t="n">
        <v>40</v>
      </c>
      <c r="T191" s="18" t="n">
        <v>41</v>
      </c>
      <c r="U191" s="18" t="n">
        <v>41</v>
      </c>
      <c r="V191" s="18" t="n">
        <v>41</v>
      </c>
      <c r="W191" s="20" t="n"/>
      <c r="X191" s="20" t="n"/>
      <c r="Y191" s="20" t="n"/>
      <c r="Z191" s="20" t="n"/>
      <c r="AA191" s="20" t="n"/>
      <c r="AB191" s="20" t="n"/>
      <c r="AC191" s="21">
        <f>IF(W191="","",W191-K191)</f>
        <v/>
      </c>
      <c r="AD191" s="21">
        <f>IF(X191="","",X191-L191)</f>
        <v/>
      </c>
      <c r="AE191" s="21">
        <f>IF(Y191="","",Y191-M191)</f>
        <v/>
      </c>
      <c r="AF191" s="21">
        <f>IF(Z191="","",Z191-N191)</f>
        <v/>
      </c>
      <c r="AG191" s="21">
        <f>IF(AA191="","",AA191-O191)</f>
        <v/>
      </c>
      <c r="AH191" s="21">
        <f>IF(AB191="","",AB191-P191)</f>
        <v/>
      </c>
      <c r="AI191" s="18">
        <f>IF(COUNTA(W191:AB191)=0,"未入力",IF(COUNTA(W191:AB191)&lt;6,"一部入力",IF(COUNTIF(AC191:AH191,0)=6,"一致","差分あり")))</f>
        <v/>
      </c>
      <c r="AJ1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1" s="19" t="inlineStr"/>
      <c r="AL191" s="18" t="inlineStr">
        <is>
          <t>2026-06-29</t>
        </is>
      </c>
    </row>
    <row r="192" ht="22" customHeight="1">
      <c r="A192" s="17" t="inlineStr">
        <is>
          <t>1002506-LB4</t>
        </is>
      </c>
      <c r="B192" s="18" t="n">
        <v>1002506</v>
      </c>
      <c r="C192" s="17" t="inlineStr">
        <is>
          <t>KHiiragi06</t>
        </is>
      </c>
      <c r="D192" s="17" t="inlineStr">
        <is>
          <t>KHiiragi</t>
        </is>
      </c>
      <c r="E192" s="17" t="inlineStr">
        <is>
          <t>柊木 梢</t>
        </is>
      </c>
      <c r="F192" s="19" t="inlineStr">
        <is>
          <t>プールサイド・モーメント</t>
        </is>
      </c>
      <c r="G192" s="18" t="inlineStr">
        <is>
          <t>SS</t>
        </is>
      </c>
      <c r="H192" s="17" t="inlineStr">
        <is>
          <t>Blaster</t>
        </is>
      </c>
      <c r="I192" s="18" t="n">
        <v>4</v>
      </c>
      <c r="J192" s="18" t="n">
        <v>4</v>
      </c>
      <c r="K192" s="18" t="n">
        <v>526</v>
      </c>
      <c r="L192" s="18" t="n">
        <v>453</v>
      </c>
      <c r="M192" s="18" t="n">
        <v>481</v>
      </c>
      <c r="N192" s="18" t="n">
        <v>493</v>
      </c>
      <c r="O192" s="18" t="n">
        <v>491</v>
      </c>
      <c r="P192" s="18" t="n">
        <v>487</v>
      </c>
      <c r="Q192" s="18" t="n">
        <v>53</v>
      </c>
      <c r="R192" s="18" t="n">
        <v>46</v>
      </c>
      <c r="S192" s="18" t="n">
        <v>49</v>
      </c>
      <c r="T192" s="18" t="n">
        <v>50</v>
      </c>
      <c r="U192" s="18" t="n">
        <v>50</v>
      </c>
      <c r="V192" s="18" t="n">
        <v>49</v>
      </c>
      <c r="W192" s="20" t="n"/>
      <c r="X192" s="20" t="n"/>
      <c r="Y192" s="20" t="n"/>
      <c r="Z192" s="20" t="n"/>
      <c r="AA192" s="20" t="n"/>
      <c r="AB192" s="20" t="n"/>
      <c r="AC192" s="21">
        <f>IF(W192="","",W192-K192)</f>
        <v/>
      </c>
      <c r="AD192" s="21">
        <f>IF(X192="","",X192-L192)</f>
        <v/>
      </c>
      <c r="AE192" s="21">
        <f>IF(Y192="","",Y192-M192)</f>
        <v/>
      </c>
      <c r="AF192" s="21">
        <f>IF(Z192="","",Z192-N192)</f>
        <v/>
      </c>
      <c r="AG192" s="21">
        <f>IF(AA192="","",AA192-O192)</f>
        <v/>
      </c>
      <c r="AH192" s="21">
        <f>IF(AB192="","",AB192-P192)</f>
        <v/>
      </c>
      <c r="AI192" s="18">
        <f>IF(COUNTA(W192:AB192)=0,"未入力",IF(COUNTA(W192:AB192)&lt;6,"一部入力",IF(COUNTIF(AC192:AH192,0)=6,"一致","差分あり")))</f>
        <v/>
      </c>
      <c r="AJ1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2" s="19" t="inlineStr"/>
      <c r="AL192" s="18" t="inlineStr">
        <is>
          <t>2026-06-29</t>
        </is>
      </c>
    </row>
    <row r="193" ht="22" customHeight="1">
      <c r="A193" s="17" t="inlineStr">
        <is>
          <t>1002507-LB0</t>
        </is>
      </c>
      <c r="B193" s="18" t="n">
        <v>1002507</v>
      </c>
      <c r="C193" s="17" t="inlineStr">
        <is>
          <t>KHiiragi07</t>
        </is>
      </c>
      <c r="D193" s="17" t="inlineStr">
        <is>
          <t>KHiiragi</t>
        </is>
      </c>
      <c r="E193" s="17" t="inlineStr">
        <is>
          <t>柊木 梢</t>
        </is>
      </c>
      <c r="F193" s="19" t="inlineStr">
        <is>
          <t>こじらじNOW ON AIR！</t>
        </is>
      </c>
      <c r="G193" s="18" t="inlineStr">
        <is>
          <t>S</t>
        </is>
      </c>
      <c r="H193" s="17" t="inlineStr">
        <is>
          <t>Healer</t>
        </is>
      </c>
      <c r="I193" s="18" t="n">
        <v>0</v>
      </c>
      <c r="J193" s="18" t="n">
        <v>10</v>
      </c>
      <c r="K193" s="18" t="n">
        <v>317</v>
      </c>
      <c r="L193" s="18" t="n">
        <v>318</v>
      </c>
      <c r="M193" s="18" t="n">
        <v>356</v>
      </c>
      <c r="N193" s="18" t="n">
        <v>354</v>
      </c>
      <c r="O193" s="18" t="n">
        <v>309</v>
      </c>
      <c r="P193" s="18" t="n">
        <v>298</v>
      </c>
      <c r="Q193" s="18" t="n">
        <v>32</v>
      </c>
      <c r="R193" s="18" t="n">
        <v>32</v>
      </c>
      <c r="S193" s="18" t="n">
        <v>36</v>
      </c>
      <c r="T193" s="18" t="n">
        <v>36</v>
      </c>
      <c r="U193" s="18" t="n">
        <v>31</v>
      </c>
      <c r="V193" s="18" t="n">
        <v>30</v>
      </c>
      <c r="W193" s="20" t="n"/>
      <c r="X193" s="20" t="n"/>
      <c r="Y193" s="20" t="n"/>
      <c r="Z193" s="20" t="n"/>
      <c r="AA193" s="20" t="n"/>
      <c r="AB193" s="20" t="n"/>
      <c r="AC193" s="21">
        <f>IF(W193="","",W193-K193)</f>
        <v/>
      </c>
      <c r="AD193" s="21">
        <f>IF(X193="","",X193-L193)</f>
        <v/>
      </c>
      <c r="AE193" s="21">
        <f>IF(Y193="","",Y193-M193)</f>
        <v/>
      </c>
      <c r="AF193" s="21">
        <f>IF(Z193="","",Z193-N193)</f>
        <v/>
      </c>
      <c r="AG193" s="21">
        <f>IF(AA193="","",AA193-O193)</f>
        <v/>
      </c>
      <c r="AH193" s="21">
        <f>IF(AB193="","",AB193-P193)</f>
        <v/>
      </c>
      <c r="AI193" s="18">
        <f>IF(COUNTA(W193:AB193)=0,"未入力",IF(COUNTA(W193:AB193)&lt;6,"一部入力",IF(COUNTIF(AC193:AH193,0)=6,"一致","差分あり")))</f>
        <v/>
      </c>
      <c r="AJ1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3" s="19" t="inlineStr"/>
      <c r="AL193" s="18" t="inlineStr">
        <is>
          <t>2026-06-29</t>
        </is>
      </c>
    </row>
    <row r="194" ht="22" customHeight="1">
      <c r="A194" s="17" t="inlineStr">
        <is>
          <t>1002507-LB10</t>
        </is>
      </c>
      <c r="B194" s="18" t="n">
        <v>1002507</v>
      </c>
      <c r="C194" s="17" t="inlineStr">
        <is>
          <t>KHiiragi07</t>
        </is>
      </c>
      <c r="D194" s="17" t="inlineStr">
        <is>
          <t>KHiiragi</t>
        </is>
      </c>
      <c r="E194" s="17" t="inlineStr">
        <is>
          <t>柊木 梢</t>
        </is>
      </c>
      <c r="F194" s="19" t="inlineStr">
        <is>
          <t>こじらじNOW ON AIR！</t>
        </is>
      </c>
      <c r="G194" s="18" t="inlineStr">
        <is>
          <t>S</t>
        </is>
      </c>
      <c r="H194" s="17" t="inlineStr">
        <is>
          <t>Healer</t>
        </is>
      </c>
      <c r="I194" s="18" t="n">
        <v>10</v>
      </c>
      <c r="J194" s="18" t="n">
        <v>10</v>
      </c>
      <c r="K194" s="18" t="n">
        <v>386</v>
      </c>
      <c r="L194" s="18" t="n">
        <v>384</v>
      </c>
      <c r="M194" s="18" t="n">
        <v>423</v>
      </c>
      <c r="N194" s="18" t="n">
        <v>421</v>
      </c>
      <c r="O194" s="18" t="n">
        <v>375</v>
      </c>
      <c r="P194" s="18" t="n">
        <v>362</v>
      </c>
      <c r="Q194" s="18" t="n">
        <v>39</v>
      </c>
      <c r="R194" s="18" t="n">
        <v>39</v>
      </c>
      <c r="S194" s="18" t="n">
        <v>43</v>
      </c>
      <c r="T194" s="18" t="n">
        <v>43</v>
      </c>
      <c r="U194" s="18" t="n">
        <v>38</v>
      </c>
      <c r="V194" s="18" t="n">
        <v>37</v>
      </c>
      <c r="W194" s="20" t="n"/>
      <c r="X194" s="20" t="n"/>
      <c r="Y194" s="20" t="n"/>
      <c r="Z194" s="20" t="n"/>
      <c r="AA194" s="20" t="n"/>
      <c r="AB194" s="20" t="n"/>
      <c r="AC194" s="21">
        <f>IF(W194="","",W194-K194)</f>
        <v/>
      </c>
      <c r="AD194" s="21">
        <f>IF(X194="","",X194-L194)</f>
        <v/>
      </c>
      <c r="AE194" s="21">
        <f>IF(Y194="","",Y194-M194)</f>
        <v/>
      </c>
      <c r="AF194" s="21">
        <f>IF(Z194="","",Z194-N194)</f>
        <v/>
      </c>
      <c r="AG194" s="21">
        <f>IF(AA194="","",AA194-O194)</f>
        <v/>
      </c>
      <c r="AH194" s="21">
        <f>IF(AB194="","",AB194-P194)</f>
        <v/>
      </c>
      <c r="AI194" s="18">
        <f>IF(COUNTA(W194:AB194)=0,"未入力",IF(COUNTA(W194:AB194)&lt;6,"一部入力",IF(COUNTIF(AC194:AH194,0)=6,"一致","差分あり")))</f>
        <v/>
      </c>
      <c r="AJ1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4" s="19" t="inlineStr"/>
      <c r="AL194" s="18" t="inlineStr">
        <is>
          <t>2026-06-29</t>
        </is>
      </c>
    </row>
    <row r="195" ht="22" customHeight="1">
      <c r="A195" s="17" t="inlineStr">
        <is>
          <t>1002601-LB0</t>
        </is>
      </c>
      <c r="B195" s="18" t="n">
        <v>1002601</v>
      </c>
      <c r="C195" s="17" t="inlineStr">
        <is>
          <t>Byakko01</t>
        </is>
      </c>
      <c r="D195" s="17" t="inlineStr">
        <is>
          <t>Byakko</t>
        </is>
      </c>
      <c r="E195" s="17" t="inlineStr">
        <is>
          <t>ビャッコ</t>
        </is>
      </c>
      <c r="F195" s="19" t="inlineStr">
        <is>
          <t>戦場の哮り</t>
        </is>
      </c>
      <c r="G195" s="18" t="inlineStr">
        <is>
          <t>A</t>
        </is>
      </c>
      <c r="H195" s="17" t="inlineStr">
        <is>
          <t>Blaster</t>
        </is>
      </c>
      <c r="I195" s="18" t="n">
        <v>0</v>
      </c>
      <c r="J195" s="18" t="n">
        <v>20</v>
      </c>
      <c r="K195" s="18" t="n">
        <v>289</v>
      </c>
      <c r="L195" s="18" t="n">
        <v>274</v>
      </c>
      <c r="M195" s="18" t="n">
        <v>281</v>
      </c>
      <c r="N195" s="18" t="n">
        <v>288</v>
      </c>
      <c r="O195" s="18" t="n">
        <v>247</v>
      </c>
      <c r="P195" s="18" t="n">
        <v>251</v>
      </c>
      <c r="Q195" s="18" t="n">
        <v>29</v>
      </c>
      <c r="R195" s="18" t="n">
        <v>28</v>
      </c>
      <c r="S195" s="18" t="n">
        <v>29</v>
      </c>
      <c r="T195" s="18" t="n">
        <v>29</v>
      </c>
      <c r="U195" s="18" t="n">
        <v>25</v>
      </c>
      <c r="V195" s="18" t="n">
        <v>26</v>
      </c>
      <c r="W195" s="20" t="n"/>
      <c r="X195" s="20" t="n"/>
      <c r="Y195" s="20" t="n"/>
      <c r="Z195" s="20" t="n"/>
      <c r="AA195" s="20" t="n"/>
      <c r="AB195" s="20" t="n"/>
      <c r="AC195" s="21">
        <f>IF(W195="","",W195-K195)</f>
        <v/>
      </c>
      <c r="AD195" s="21">
        <f>IF(X195="","",X195-L195)</f>
        <v/>
      </c>
      <c r="AE195" s="21">
        <f>IF(Y195="","",Y195-M195)</f>
        <v/>
      </c>
      <c r="AF195" s="21">
        <f>IF(Z195="","",Z195-N195)</f>
        <v/>
      </c>
      <c r="AG195" s="21">
        <f>IF(AA195="","",AA195-O195)</f>
        <v/>
      </c>
      <c r="AH195" s="21">
        <f>IF(AB195="","",AB195-P195)</f>
        <v/>
      </c>
      <c r="AI195" s="18">
        <f>IF(COUNTA(W195:AB195)=0,"未入力",IF(COUNTA(W195:AB195)&lt;6,"一部入力",IF(COUNTIF(AC195:AH195,0)=6,"一致","差分あり")))</f>
        <v/>
      </c>
      <c r="AJ1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5" s="19" t="inlineStr"/>
      <c r="AL195" s="18" t="inlineStr">
        <is>
          <t>2026-06-29</t>
        </is>
      </c>
    </row>
    <row r="196" ht="22" customHeight="1">
      <c r="A196" s="17" t="inlineStr">
        <is>
          <t>1002601-LB20</t>
        </is>
      </c>
      <c r="B196" s="18" t="n">
        <v>1002601</v>
      </c>
      <c r="C196" s="17" t="inlineStr">
        <is>
          <t>Byakko01</t>
        </is>
      </c>
      <c r="D196" s="17" t="inlineStr">
        <is>
          <t>Byakko</t>
        </is>
      </c>
      <c r="E196" s="17" t="inlineStr">
        <is>
          <t>ビャッコ</t>
        </is>
      </c>
      <c r="F196" s="19" t="inlineStr">
        <is>
          <t>戦場の哮り</t>
        </is>
      </c>
      <c r="G196" s="18" t="inlineStr">
        <is>
          <t>A</t>
        </is>
      </c>
      <c r="H196" s="17" t="inlineStr">
        <is>
          <t>Blaster</t>
        </is>
      </c>
      <c r="I196" s="18" t="n">
        <v>20</v>
      </c>
      <c r="J196" s="18" t="n">
        <v>20</v>
      </c>
      <c r="K196" s="18" t="n">
        <v>335</v>
      </c>
      <c r="L196" s="18" t="n">
        <v>317</v>
      </c>
      <c r="M196" s="18" t="n">
        <v>325</v>
      </c>
      <c r="N196" s="18" t="n">
        <v>331</v>
      </c>
      <c r="O196" s="18" t="n">
        <v>291</v>
      </c>
      <c r="P196" s="18" t="n">
        <v>295</v>
      </c>
      <c r="Q196" s="18" t="n">
        <v>34</v>
      </c>
      <c r="R196" s="18" t="n">
        <v>32</v>
      </c>
      <c r="S196" s="18" t="n">
        <v>33</v>
      </c>
      <c r="T196" s="18" t="n">
        <v>34</v>
      </c>
      <c r="U196" s="18" t="n">
        <v>30</v>
      </c>
      <c r="V196" s="18" t="n">
        <v>30</v>
      </c>
      <c r="W196" s="20" t="n"/>
      <c r="X196" s="20" t="n"/>
      <c r="Y196" s="20" t="n"/>
      <c r="Z196" s="20" t="n"/>
      <c r="AA196" s="20" t="n"/>
      <c r="AB196" s="20" t="n"/>
      <c r="AC196" s="21">
        <f>IF(W196="","",W196-K196)</f>
        <v/>
      </c>
      <c r="AD196" s="21">
        <f>IF(X196="","",X196-L196)</f>
        <v/>
      </c>
      <c r="AE196" s="21">
        <f>IF(Y196="","",Y196-M196)</f>
        <v/>
      </c>
      <c r="AF196" s="21">
        <f>IF(Z196="","",Z196-N196)</f>
        <v/>
      </c>
      <c r="AG196" s="21">
        <f>IF(AA196="","",AA196-O196)</f>
        <v/>
      </c>
      <c r="AH196" s="21">
        <f>IF(AB196="","",AB196-P196)</f>
        <v/>
      </c>
      <c r="AI196" s="18">
        <f>IF(COUNTA(W196:AB196)=0,"未入力",IF(COUNTA(W196:AB196)&lt;6,"一部入力",IF(COUNTIF(AC196:AH196,0)=6,"一致","差分あり")))</f>
        <v/>
      </c>
      <c r="AJ1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6" s="19" t="inlineStr"/>
      <c r="AL196" s="18" t="inlineStr">
        <is>
          <t>2026-06-29</t>
        </is>
      </c>
    </row>
    <row r="197" ht="22" customHeight="1">
      <c r="A197" s="17" t="inlineStr">
        <is>
          <t>1002602-LB0</t>
        </is>
      </c>
      <c r="B197" s="18" t="n">
        <v>1002602</v>
      </c>
      <c r="C197" s="17" t="inlineStr">
        <is>
          <t>Byakko02</t>
        </is>
      </c>
      <c r="D197" s="17" t="inlineStr">
        <is>
          <t>Byakko</t>
        </is>
      </c>
      <c r="E197" s="17" t="inlineStr">
        <is>
          <t>ビャッコ</t>
        </is>
      </c>
      <c r="F197" s="19" t="inlineStr">
        <is>
          <t>リラックスサイン</t>
        </is>
      </c>
      <c r="G197" s="18" t="inlineStr">
        <is>
          <t>S</t>
        </is>
      </c>
      <c r="H197" s="17" t="inlineStr">
        <is>
          <t>Blaster</t>
        </is>
      </c>
      <c r="I197" s="18" t="n">
        <v>0</v>
      </c>
      <c r="J197" s="18" t="n">
        <v>10</v>
      </c>
      <c r="K197" s="18" t="n">
        <v>317</v>
      </c>
      <c r="L197" s="18" t="n">
        <v>344</v>
      </c>
      <c r="M197" s="18" t="n">
        <v>309</v>
      </c>
      <c r="N197" s="18" t="n">
        <v>304</v>
      </c>
      <c r="O197" s="18" t="n">
        <v>351</v>
      </c>
      <c r="P197" s="18" t="n">
        <v>323</v>
      </c>
      <c r="Q197" s="18" t="n">
        <v>32</v>
      </c>
      <c r="R197" s="18" t="n">
        <v>35</v>
      </c>
      <c r="S197" s="18" t="n">
        <v>31</v>
      </c>
      <c r="T197" s="18" t="n">
        <v>31</v>
      </c>
      <c r="U197" s="18" t="n">
        <v>36</v>
      </c>
      <c r="V197" s="18" t="n">
        <v>33</v>
      </c>
      <c r="W197" s="20" t="n"/>
      <c r="X197" s="20" t="n"/>
      <c r="Y197" s="20" t="n"/>
      <c r="Z197" s="20" t="n"/>
      <c r="AA197" s="20" t="n"/>
      <c r="AB197" s="20" t="n"/>
      <c r="AC197" s="21">
        <f>IF(W197="","",W197-K197)</f>
        <v/>
      </c>
      <c r="AD197" s="21">
        <f>IF(X197="","",X197-L197)</f>
        <v/>
      </c>
      <c r="AE197" s="21">
        <f>IF(Y197="","",Y197-M197)</f>
        <v/>
      </c>
      <c r="AF197" s="21">
        <f>IF(Z197="","",Z197-N197)</f>
        <v/>
      </c>
      <c r="AG197" s="21">
        <f>IF(AA197="","",AA197-O197)</f>
        <v/>
      </c>
      <c r="AH197" s="21">
        <f>IF(AB197="","",AB197-P197)</f>
        <v/>
      </c>
      <c r="AI197" s="18">
        <f>IF(COUNTA(W197:AB197)=0,"未入力",IF(COUNTA(W197:AB197)&lt;6,"一部入力",IF(COUNTIF(AC197:AH197,0)=6,"一致","差分あり")))</f>
        <v/>
      </c>
      <c r="AJ1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7" s="19" t="inlineStr"/>
      <c r="AL197" s="18" t="inlineStr">
        <is>
          <t>2026-06-29</t>
        </is>
      </c>
    </row>
    <row r="198" ht="22" customHeight="1">
      <c r="A198" s="17" t="inlineStr">
        <is>
          <t>1002602-LB10</t>
        </is>
      </c>
      <c r="B198" s="18" t="n">
        <v>1002602</v>
      </c>
      <c r="C198" s="17" t="inlineStr">
        <is>
          <t>Byakko02</t>
        </is>
      </c>
      <c r="D198" s="17" t="inlineStr">
        <is>
          <t>Byakko</t>
        </is>
      </c>
      <c r="E198" s="17" t="inlineStr">
        <is>
          <t>ビャッコ</t>
        </is>
      </c>
      <c r="F198" s="19" t="inlineStr">
        <is>
          <t>リラックスサイン</t>
        </is>
      </c>
      <c r="G198" s="18" t="inlineStr">
        <is>
          <t>S</t>
        </is>
      </c>
      <c r="H198" s="17" t="inlineStr">
        <is>
          <t>Blaster</t>
        </is>
      </c>
      <c r="I198" s="18" t="n">
        <v>10</v>
      </c>
      <c r="J198" s="18" t="n">
        <v>10</v>
      </c>
      <c r="K198" s="18" t="n">
        <v>385</v>
      </c>
      <c r="L198" s="18" t="n">
        <v>408</v>
      </c>
      <c r="M198" s="18" t="n">
        <v>373</v>
      </c>
      <c r="N198" s="18" t="n">
        <v>369</v>
      </c>
      <c r="O198" s="18" t="n">
        <v>417</v>
      </c>
      <c r="P198" s="18" t="n">
        <v>389</v>
      </c>
      <c r="Q198" s="18" t="n">
        <v>39</v>
      </c>
      <c r="R198" s="18" t="n">
        <v>41</v>
      </c>
      <c r="S198" s="18" t="n">
        <v>38</v>
      </c>
      <c r="T198" s="18" t="n">
        <v>37</v>
      </c>
      <c r="U198" s="18" t="n">
        <v>42</v>
      </c>
      <c r="V198" s="18" t="n">
        <v>39</v>
      </c>
      <c r="W198" s="20" t="n"/>
      <c r="X198" s="20" t="n"/>
      <c r="Y198" s="20" t="n"/>
      <c r="Z198" s="20" t="n"/>
      <c r="AA198" s="20" t="n"/>
      <c r="AB198" s="20" t="n"/>
      <c r="AC198" s="21">
        <f>IF(W198="","",W198-K198)</f>
        <v/>
      </c>
      <c r="AD198" s="21">
        <f>IF(X198="","",X198-L198)</f>
        <v/>
      </c>
      <c r="AE198" s="21">
        <f>IF(Y198="","",Y198-M198)</f>
        <v/>
      </c>
      <c r="AF198" s="21">
        <f>IF(Z198="","",Z198-N198)</f>
        <v/>
      </c>
      <c r="AG198" s="21">
        <f>IF(AA198="","",AA198-O198)</f>
        <v/>
      </c>
      <c r="AH198" s="21">
        <f>IF(AB198="","",AB198-P198)</f>
        <v/>
      </c>
      <c r="AI198" s="18">
        <f>IF(COUNTA(W198:AB198)=0,"未入力",IF(COUNTA(W198:AB198)&lt;6,"一部入力",IF(COUNTIF(AC198:AH198,0)=6,"一致","差分あり")))</f>
        <v/>
      </c>
      <c r="AJ1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8" s="19" t="inlineStr"/>
      <c r="AL198" s="18" t="inlineStr">
        <is>
          <t>2026-06-29</t>
        </is>
      </c>
    </row>
    <row r="199" ht="22" customHeight="1">
      <c r="A199" s="17" t="inlineStr">
        <is>
          <t>1002603-LB0</t>
        </is>
      </c>
      <c r="B199" s="18" t="n">
        <v>1002603</v>
      </c>
      <c r="C199" s="17" t="inlineStr">
        <is>
          <t>Byakko03</t>
        </is>
      </c>
      <c r="D199" s="17" t="inlineStr">
        <is>
          <t>Byakko</t>
        </is>
      </c>
      <c r="E199" s="17" t="inlineStr">
        <is>
          <t>ビャッコ</t>
        </is>
      </c>
      <c r="F199" s="19" t="inlineStr">
        <is>
          <t>レイジング・ビースト</t>
        </is>
      </c>
      <c r="G199" s="18" t="inlineStr">
        <is>
          <t>SS</t>
        </is>
      </c>
      <c r="H199" s="17" t="inlineStr">
        <is>
          <t>Blaster</t>
        </is>
      </c>
      <c r="I199" s="18" t="n">
        <v>0</v>
      </c>
      <c r="J199" s="18" t="n">
        <v>4</v>
      </c>
      <c r="K199" s="18" t="n">
        <v>425</v>
      </c>
      <c r="L199" s="18" t="n">
        <v>336</v>
      </c>
      <c r="M199" s="18" t="n">
        <v>355</v>
      </c>
      <c r="N199" s="18" t="n">
        <v>374</v>
      </c>
      <c r="O199" s="18" t="n">
        <v>378</v>
      </c>
      <c r="P199" s="18" t="n">
        <v>396</v>
      </c>
      <c r="Q199" s="18" t="n">
        <v>43</v>
      </c>
      <c r="R199" s="18" t="n">
        <v>34</v>
      </c>
      <c r="S199" s="18" t="n">
        <v>36</v>
      </c>
      <c r="T199" s="18" t="n">
        <v>38</v>
      </c>
      <c r="U199" s="18" t="n">
        <v>38</v>
      </c>
      <c r="V199" s="18" t="n">
        <v>40</v>
      </c>
      <c r="W199" s="20" t="n"/>
      <c r="X199" s="20" t="n"/>
      <c r="Y199" s="20" t="n"/>
      <c r="Z199" s="20" t="n"/>
      <c r="AA199" s="20" t="n"/>
      <c r="AB199" s="20" t="n"/>
      <c r="AC199" s="21">
        <f>IF(W199="","",W199-K199)</f>
        <v/>
      </c>
      <c r="AD199" s="21">
        <f>IF(X199="","",X199-L199)</f>
        <v/>
      </c>
      <c r="AE199" s="21">
        <f>IF(Y199="","",Y199-M199)</f>
        <v/>
      </c>
      <c r="AF199" s="21">
        <f>IF(Z199="","",Z199-N199)</f>
        <v/>
      </c>
      <c r="AG199" s="21">
        <f>IF(AA199="","",AA199-O199)</f>
        <v/>
      </c>
      <c r="AH199" s="21">
        <f>IF(AB199="","",AB199-P199)</f>
        <v/>
      </c>
      <c r="AI199" s="18">
        <f>IF(COUNTA(W199:AB199)=0,"未入力",IF(COUNTA(W199:AB199)&lt;6,"一部入力",IF(COUNTIF(AC199:AH199,0)=6,"一致","差分あり")))</f>
        <v/>
      </c>
      <c r="AJ1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199" s="19" t="inlineStr"/>
      <c r="AL199" s="18" t="inlineStr">
        <is>
          <t>2026-06-29</t>
        </is>
      </c>
    </row>
    <row r="200" ht="22" customHeight="1">
      <c r="A200" s="17" t="inlineStr">
        <is>
          <t>1002603-LB4</t>
        </is>
      </c>
      <c r="B200" s="18" t="n">
        <v>1002603</v>
      </c>
      <c r="C200" s="17" t="inlineStr">
        <is>
          <t>Byakko03</t>
        </is>
      </c>
      <c r="D200" s="17" t="inlineStr">
        <is>
          <t>Byakko</t>
        </is>
      </c>
      <c r="E200" s="17" t="inlineStr">
        <is>
          <t>ビャッコ</t>
        </is>
      </c>
      <c r="F200" s="19" t="inlineStr">
        <is>
          <t>レイジング・ビースト</t>
        </is>
      </c>
      <c r="G200" s="18" t="inlineStr">
        <is>
          <t>SS</t>
        </is>
      </c>
      <c r="H200" s="17" t="inlineStr">
        <is>
          <t>Blaster</t>
        </is>
      </c>
      <c r="I200" s="18" t="n">
        <v>4</v>
      </c>
      <c r="J200" s="18" t="n">
        <v>4</v>
      </c>
      <c r="K200" s="18" t="n">
        <v>516</v>
      </c>
      <c r="L200" s="18" t="n">
        <v>422</v>
      </c>
      <c r="M200" s="18" t="n">
        <v>440</v>
      </c>
      <c r="N200" s="18" t="n">
        <v>461</v>
      </c>
      <c r="O200" s="18" t="n">
        <v>466</v>
      </c>
      <c r="P200" s="18" t="n">
        <v>485</v>
      </c>
      <c r="Q200" s="18" t="n">
        <v>52</v>
      </c>
      <c r="R200" s="18" t="n">
        <v>43</v>
      </c>
      <c r="S200" s="18" t="n">
        <v>44</v>
      </c>
      <c r="T200" s="18" t="n">
        <v>47</v>
      </c>
      <c r="U200" s="18" t="n">
        <v>47</v>
      </c>
      <c r="V200" s="18" t="n">
        <v>49</v>
      </c>
      <c r="W200" s="20" t="n"/>
      <c r="X200" s="20" t="n"/>
      <c r="Y200" s="20" t="n"/>
      <c r="Z200" s="20" t="n"/>
      <c r="AA200" s="20" t="n"/>
      <c r="AB200" s="20" t="n"/>
      <c r="AC200" s="21">
        <f>IF(W200="","",W200-K200)</f>
        <v/>
      </c>
      <c r="AD200" s="21">
        <f>IF(X200="","",X200-L200)</f>
        <v/>
      </c>
      <c r="AE200" s="21">
        <f>IF(Y200="","",Y200-M200)</f>
        <v/>
      </c>
      <c r="AF200" s="21">
        <f>IF(Z200="","",Z200-N200)</f>
        <v/>
      </c>
      <c r="AG200" s="21">
        <f>IF(AA200="","",AA200-O200)</f>
        <v/>
      </c>
      <c r="AH200" s="21">
        <f>IF(AB200="","",AB200-P200)</f>
        <v/>
      </c>
      <c r="AI200" s="18">
        <f>IF(COUNTA(W200:AB200)=0,"未入力",IF(COUNTA(W200:AB200)&lt;6,"一部入力",IF(COUNTIF(AC200:AH200,0)=6,"一致","差分あり")))</f>
        <v/>
      </c>
      <c r="AJ2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0" s="19" t="inlineStr"/>
      <c r="AL200" s="18" t="inlineStr">
        <is>
          <t>2026-06-29</t>
        </is>
      </c>
    </row>
    <row r="201" ht="22" customHeight="1">
      <c r="A201" s="17" t="inlineStr">
        <is>
          <t>1002604-LB0</t>
        </is>
      </c>
      <c r="B201" s="18" t="n">
        <v>1002604</v>
      </c>
      <c r="C201" s="17" t="inlineStr">
        <is>
          <t>Byakko04</t>
        </is>
      </c>
      <c r="D201" s="17" t="inlineStr">
        <is>
          <t>Byakko</t>
        </is>
      </c>
      <c r="E201" s="17" t="inlineStr">
        <is>
          <t>ビャッコ</t>
        </is>
      </c>
      <c r="F201" s="19" t="inlineStr">
        <is>
          <t>のもけいしさや</t>
        </is>
      </c>
      <c r="G201" s="18" t="inlineStr">
        <is>
          <t>SS</t>
        </is>
      </c>
      <c r="H201" s="17" t="inlineStr">
        <is>
          <t>Blaster</t>
        </is>
      </c>
      <c r="I201" s="18" t="n">
        <v>0</v>
      </c>
      <c r="J201" s="18" t="n">
        <v>4</v>
      </c>
      <c r="K201" s="18" t="n">
        <v>448</v>
      </c>
      <c r="L201" s="18" t="n">
        <v>358</v>
      </c>
      <c r="M201" s="18" t="n">
        <v>376</v>
      </c>
      <c r="N201" s="18" t="n">
        <v>396</v>
      </c>
      <c r="O201" s="18" t="n">
        <v>400</v>
      </c>
      <c r="P201" s="18" t="n">
        <v>419</v>
      </c>
      <c r="Q201" s="18" t="n">
        <v>45</v>
      </c>
      <c r="R201" s="18" t="n">
        <v>36</v>
      </c>
      <c r="S201" s="18" t="n">
        <v>38</v>
      </c>
      <c r="T201" s="18" t="n">
        <v>40</v>
      </c>
      <c r="U201" s="18" t="n">
        <v>40</v>
      </c>
      <c r="V201" s="18" t="n">
        <v>42</v>
      </c>
      <c r="W201" s="20" t="n"/>
      <c r="X201" s="20" t="n"/>
      <c r="Y201" s="20" t="n"/>
      <c r="Z201" s="20" t="n"/>
      <c r="AA201" s="20" t="n"/>
      <c r="AB201" s="20" t="n"/>
      <c r="AC201" s="21">
        <f>IF(W201="","",W201-K201)</f>
        <v/>
      </c>
      <c r="AD201" s="21">
        <f>IF(X201="","",X201-L201)</f>
        <v/>
      </c>
      <c r="AE201" s="21">
        <f>IF(Y201="","",Y201-M201)</f>
        <v/>
      </c>
      <c r="AF201" s="21">
        <f>IF(Z201="","",Z201-N201)</f>
        <v/>
      </c>
      <c r="AG201" s="21">
        <f>IF(AA201="","",AA201-O201)</f>
        <v/>
      </c>
      <c r="AH201" s="21">
        <f>IF(AB201="","",AB201-P201)</f>
        <v/>
      </c>
      <c r="AI201" s="18">
        <f>IF(COUNTA(W201:AB201)=0,"未入力",IF(COUNTA(W201:AB201)&lt;6,"一部入力",IF(COUNTIF(AC201:AH201,0)=6,"一致","差分あり")))</f>
        <v/>
      </c>
      <c r="AJ2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1" s="19" t="inlineStr"/>
      <c r="AL201" s="18" t="inlineStr">
        <is>
          <t>2026-06-29</t>
        </is>
      </c>
    </row>
    <row r="202" ht="22" customHeight="1">
      <c r="A202" s="17" t="inlineStr">
        <is>
          <t>1002604-LB4</t>
        </is>
      </c>
      <c r="B202" s="18" t="n">
        <v>1002604</v>
      </c>
      <c r="C202" s="17" t="inlineStr">
        <is>
          <t>Byakko04</t>
        </is>
      </c>
      <c r="D202" s="17" t="inlineStr">
        <is>
          <t>Byakko</t>
        </is>
      </c>
      <c r="E202" s="17" t="inlineStr">
        <is>
          <t>ビャッコ</t>
        </is>
      </c>
      <c r="F202" s="19" t="inlineStr">
        <is>
          <t>のもけいしさや</t>
        </is>
      </c>
      <c r="G202" s="18" t="inlineStr">
        <is>
          <t>SS</t>
        </is>
      </c>
      <c r="H202" s="17" t="inlineStr">
        <is>
          <t>Blaster</t>
        </is>
      </c>
      <c r="I202" s="18" t="n">
        <v>4</v>
      </c>
      <c r="J202" s="18" t="n">
        <v>4</v>
      </c>
      <c r="K202" s="18" t="n">
        <v>539</v>
      </c>
      <c r="L202" s="18" t="n">
        <v>444</v>
      </c>
      <c r="M202" s="18" t="n">
        <v>461</v>
      </c>
      <c r="N202" s="18" t="n">
        <v>482</v>
      </c>
      <c r="O202" s="18" t="n">
        <v>488</v>
      </c>
      <c r="P202" s="18" t="n">
        <v>508</v>
      </c>
      <c r="Q202" s="18" t="n">
        <v>54</v>
      </c>
      <c r="R202" s="18" t="n">
        <v>45</v>
      </c>
      <c r="S202" s="18" t="n">
        <v>47</v>
      </c>
      <c r="T202" s="18" t="n">
        <v>49</v>
      </c>
      <c r="U202" s="18" t="n">
        <v>49</v>
      </c>
      <c r="V202" s="18" t="n">
        <v>51</v>
      </c>
      <c r="W202" s="20" t="n"/>
      <c r="X202" s="20" t="n"/>
      <c r="Y202" s="20" t="n"/>
      <c r="Z202" s="20" t="n"/>
      <c r="AA202" s="20" t="n"/>
      <c r="AB202" s="20" t="n"/>
      <c r="AC202" s="21">
        <f>IF(W202="","",W202-K202)</f>
        <v/>
      </c>
      <c r="AD202" s="21">
        <f>IF(X202="","",X202-L202)</f>
        <v/>
      </c>
      <c r="AE202" s="21">
        <f>IF(Y202="","",Y202-M202)</f>
        <v/>
      </c>
      <c r="AF202" s="21">
        <f>IF(Z202="","",Z202-N202)</f>
        <v/>
      </c>
      <c r="AG202" s="21">
        <f>IF(AA202="","",AA202-O202)</f>
        <v/>
      </c>
      <c r="AH202" s="21">
        <f>IF(AB202="","",AB202-P202)</f>
        <v/>
      </c>
      <c r="AI202" s="18">
        <f>IF(COUNTA(W202:AB202)=0,"未入力",IF(COUNTA(W202:AB202)&lt;6,"一部入力",IF(COUNTIF(AC202:AH202,0)=6,"一致","差分あり")))</f>
        <v/>
      </c>
      <c r="AJ2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2" s="19" t="inlineStr"/>
      <c r="AL202" s="18" t="inlineStr">
        <is>
          <t>2026-06-29</t>
        </is>
      </c>
    </row>
    <row r="203" ht="22" customHeight="1">
      <c r="A203" s="17" t="inlineStr">
        <is>
          <t>1002605-LB0</t>
        </is>
      </c>
      <c r="B203" s="18" t="n">
        <v>1002605</v>
      </c>
      <c r="C203" s="17" t="inlineStr">
        <is>
          <t>Byakko05</t>
        </is>
      </c>
      <c r="D203" s="17" t="inlineStr">
        <is>
          <t>Byakko</t>
        </is>
      </c>
      <c r="E203" s="17" t="inlineStr">
        <is>
          <t>ビャッコ</t>
        </is>
      </c>
      <c r="F203" s="19" t="inlineStr">
        <is>
          <t>うたたねビーチサイド</t>
        </is>
      </c>
      <c r="G203" s="18" t="inlineStr">
        <is>
          <t>S</t>
        </is>
      </c>
      <c r="H203" s="17" t="inlineStr">
        <is>
          <t>Buffer</t>
        </is>
      </c>
      <c r="I203" s="18" t="n">
        <v>0</v>
      </c>
      <c r="J203" s="18" t="n">
        <v>10</v>
      </c>
      <c r="K203" s="18" t="n">
        <v>359</v>
      </c>
      <c r="L203" s="18" t="n">
        <v>301</v>
      </c>
      <c r="M203" s="18" t="n">
        <v>298</v>
      </c>
      <c r="N203" s="18" t="n">
        <v>314</v>
      </c>
      <c r="O203" s="18" t="n">
        <v>318</v>
      </c>
      <c r="P203" s="18" t="n">
        <v>356</v>
      </c>
      <c r="Q203" s="18" t="n">
        <v>36</v>
      </c>
      <c r="R203" s="18" t="n">
        <v>31</v>
      </c>
      <c r="S203" s="18" t="n">
        <v>30</v>
      </c>
      <c r="T203" s="18" t="n">
        <v>32</v>
      </c>
      <c r="U203" s="18" t="n">
        <v>32</v>
      </c>
      <c r="V203" s="18" t="n">
        <v>36</v>
      </c>
      <c r="W203" s="20" t="n"/>
      <c r="X203" s="20" t="n"/>
      <c r="Y203" s="20" t="n"/>
      <c r="Z203" s="20" t="n"/>
      <c r="AA203" s="20" t="n"/>
      <c r="AB203" s="20" t="n"/>
      <c r="AC203" s="21">
        <f>IF(W203="","",W203-K203)</f>
        <v/>
      </c>
      <c r="AD203" s="21">
        <f>IF(X203="","",X203-L203)</f>
        <v/>
      </c>
      <c r="AE203" s="21">
        <f>IF(Y203="","",Y203-M203)</f>
        <v/>
      </c>
      <c r="AF203" s="21">
        <f>IF(Z203="","",Z203-N203)</f>
        <v/>
      </c>
      <c r="AG203" s="21">
        <f>IF(AA203="","",AA203-O203)</f>
        <v/>
      </c>
      <c r="AH203" s="21">
        <f>IF(AB203="","",AB203-P203)</f>
        <v/>
      </c>
      <c r="AI203" s="18">
        <f>IF(COUNTA(W203:AB203)=0,"未入力",IF(COUNTA(W203:AB203)&lt;6,"一部入力",IF(COUNTIF(AC203:AH203,0)=6,"一致","差分あり")))</f>
        <v/>
      </c>
      <c r="AJ2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3" s="19" t="inlineStr"/>
      <c r="AL203" s="18" t="inlineStr">
        <is>
          <t>2026-06-29</t>
        </is>
      </c>
    </row>
    <row r="204" ht="22" customHeight="1">
      <c r="A204" s="17" t="inlineStr">
        <is>
          <t>1002605-LB10</t>
        </is>
      </c>
      <c r="B204" s="18" t="n">
        <v>1002605</v>
      </c>
      <c r="C204" s="17" t="inlineStr">
        <is>
          <t>Byakko05</t>
        </is>
      </c>
      <c r="D204" s="17" t="inlineStr">
        <is>
          <t>Byakko</t>
        </is>
      </c>
      <c r="E204" s="17" t="inlineStr">
        <is>
          <t>ビャッコ</t>
        </is>
      </c>
      <c r="F204" s="19" t="inlineStr">
        <is>
          <t>うたたねビーチサイド</t>
        </is>
      </c>
      <c r="G204" s="18" t="inlineStr">
        <is>
          <t>S</t>
        </is>
      </c>
      <c r="H204" s="17" t="inlineStr">
        <is>
          <t>Buffer</t>
        </is>
      </c>
      <c r="I204" s="18" t="n">
        <v>10</v>
      </c>
      <c r="J204" s="18" t="n">
        <v>10</v>
      </c>
      <c r="K204" s="18" t="n">
        <v>430</v>
      </c>
      <c r="L204" s="18" t="n">
        <v>365</v>
      </c>
      <c r="M204" s="18" t="n">
        <v>362</v>
      </c>
      <c r="N204" s="18" t="n">
        <v>380</v>
      </c>
      <c r="O204" s="18" t="n">
        <v>384</v>
      </c>
      <c r="P204" s="18" t="n">
        <v>423</v>
      </c>
      <c r="Q204" s="18" t="n">
        <v>43</v>
      </c>
      <c r="R204" s="18" t="n">
        <v>37</v>
      </c>
      <c r="S204" s="18" t="n">
        <v>37</v>
      </c>
      <c r="T204" s="18" t="n">
        <v>38</v>
      </c>
      <c r="U204" s="18" t="n">
        <v>39</v>
      </c>
      <c r="V204" s="18" t="n">
        <v>43</v>
      </c>
      <c r="W204" s="20" t="n"/>
      <c r="X204" s="20" t="n"/>
      <c r="Y204" s="20" t="n"/>
      <c r="Z204" s="20" t="n"/>
      <c r="AA204" s="20" t="n"/>
      <c r="AB204" s="20" t="n"/>
      <c r="AC204" s="21">
        <f>IF(W204="","",W204-K204)</f>
        <v/>
      </c>
      <c r="AD204" s="21">
        <f>IF(X204="","",X204-L204)</f>
        <v/>
      </c>
      <c r="AE204" s="21">
        <f>IF(Y204="","",Y204-M204)</f>
        <v/>
      </c>
      <c r="AF204" s="21">
        <f>IF(Z204="","",Z204-N204)</f>
        <v/>
      </c>
      <c r="AG204" s="21">
        <f>IF(AA204="","",AA204-O204)</f>
        <v/>
      </c>
      <c r="AH204" s="21">
        <f>IF(AB204="","",AB204-P204)</f>
        <v/>
      </c>
      <c r="AI204" s="18">
        <f>IF(COUNTA(W204:AB204)=0,"未入力",IF(COUNTA(W204:AB204)&lt;6,"一部入力",IF(COUNTIF(AC204:AH204,0)=6,"一致","差分あり")))</f>
        <v/>
      </c>
      <c r="AJ2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4" s="19" t="inlineStr"/>
      <c r="AL204" s="18" t="inlineStr">
        <is>
          <t>2026-06-29</t>
        </is>
      </c>
    </row>
    <row r="205" ht="22" customHeight="1">
      <c r="A205" s="17" t="inlineStr">
        <is>
          <t>1002606-LB0</t>
        </is>
      </c>
      <c r="B205" s="18" t="n">
        <v>1002606</v>
      </c>
      <c r="C205" s="17" t="inlineStr">
        <is>
          <t>Byakko06</t>
        </is>
      </c>
      <c r="D205" s="17" t="inlineStr">
        <is>
          <t>Byakko</t>
        </is>
      </c>
      <c r="E205" s="17" t="inlineStr">
        <is>
          <t>ビャッコ</t>
        </is>
      </c>
      <c r="F205" s="19" t="inlineStr">
        <is>
          <t>戦場の白き牙</t>
        </is>
      </c>
      <c r="G205" s="18" t="inlineStr">
        <is>
          <t>SSR</t>
        </is>
      </c>
      <c r="H205" s="17" t="inlineStr">
        <is>
          <t>Blaster</t>
        </is>
      </c>
      <c r="I205" s="18" t="n">
        <v>0</v>
      </c>
      <c r="J205" s="18" t="n">
        <v>4</v>
      </c>
      <c r="K205" s="18" t="n">
        <v>376</v>
      </c>
      <c r="L205" s="18" t="n">
        <v>426</v>
      </c>
      <c r="M205" s="18" t="n">
        <v>389</v>
      </c>
      <c r="N205" s="18" t="n">
        <v>383</v>
      </c>
      <c r="O205" s="18" t="n">
        <v>413</v>
      </c>
      <c r="P205" s="18" t="n">
        <v>405</v>
      </c>
      <c r="Q205" s="18" t="n">
        <v>38</v>
      </c>
      <c r="R205" s="18" t="n">
        <v>43</v>
      </c>
      <c r="S205" s="18" t="n">
        <v>39</v>
      </c>
      <c r="T205" s="18" t="n">
        <v>39</v>
      </c>
      <c r="U205" s="18" t="n">
        <v>42</v>
      </c>
      <c r="V205" s="18" t="n">
        <v>41</v>
      </c>
      <c r="W205" s="20" t="n"/>
      <c r="X205" s="20" t="n"/>
      <c r="Y205" s="20" t="n"/>
      <c r="Z205" s="20" t="n"/>
      <c r="AA205" s="20" t="n"/>
      <c r="AB205" s="20" t="n"/>
      <c r="AC205" s="21">
        <f>IF(W205="","",W205-K205)</f>
        <v/>
      </c>
      <c r="AD205" s="21">
        <f>IF(X205="","",X205-L205)</f>
        <v/>
      </c>
      <c r="AE205" s="21">
        <f>IF(Y205="","",Y205-M205)</f>
        <v/>
      </c>
      <c r="AF205" s="21">
        <f>IF(Z205="","",Z205-N205)</f>
        <v/>
      </c>
      <c r="AG205" s="21">
        <f>IF(AA205="","",AA205-O205)</f>
        <v/>
      </c>
      <c r="AH205" s="21">
        <f>IF(AB205="","",AB205-P205)</f>
        <v/>
      </c>
      <c r="AI205" s="18">
        <f>IF(COUNTA(W205:AB205)=0,"未入力",IF(COUNTA(W205:AB205)&lt;6,"一部入力",IF(COUNTIF(AC205:AH205,0)=6,"一致","差分あり")))</f>
        <v/>
      </c>
      <c r="AJ2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5" s="19" t="inlineStr"/>
      <c r="AL205" s="18" t="inlineStr">
        <is>
          <t>2026-06-29</t>
        </is>
      </c>
    </row>
    <row r="206" ht="22" customHeight="1">
      <c r="A206" s="17" t="inlineStr">
        <is>
          <t>1002606-LB4</t>
        </is>
      </c>
      <c r="B206" s="18" t="n">
        <v>1002606</v>
      </c>
      <c r="C206" s="17" t="inlineStr">
        <is>
          <t>Byakko06</t>
        </is>
      </c>
      <c r="D206" s="17" t="inlineStr">
        <is>
          <t>Byakko</t>
        </is>
      </c>
      <c r="E206" s="17" t="inlineStr">
        <is>
          <t>ビャッコ</t>
        </is>
      </c>
      <c r="F206" s="19" t="inlineStr">
        <is>
          <t>戦場の白き牙</t>
        </is>
      </c>
      <c r="G206" s="18" t="inlineStr">
        <is>
          <t>SSR</t>
        </is>
      </c>
      <c r="H206" s="17" t="inlineStr">
        <is>
          <t>Blaster</t>
        </is>
      </c>
      <c r="I206" s="18" t="n">
        <v>4</v>
      </c>
      <c r="J206" s="18" t="n">
        <v>4</v>
      </c>
      <c r="K206" s="18" t="n">
        <v>467</v>
      </c>
      <c r="L206" s="18" t="n">
        <v>512</v>
      </c>
      <c r="M206" s="18" t="n">
        <v>474</v>
      </c>
      <c r="N206" s="18" t="n">
        <v>469</v>
      </c>
      <c r="O206" s="18" t="n">
        <v>501</v>
      </c>
      <c r="P206" s="18" t="n">
        <v>495</v>
      </c>
      <c r="Q206" s="18" t="n">
        <v>47</v>
      </c>
      <c r="R206" s="18" t="n">
        <v>52</v>
      </c>
      <c r="S206" s="18" t="n">
        <v>48</v>
      </c>
      <c r="T206" s="18" t="n">
        <v>47</v>
      </c>
      <c r="U206" s="18" t="n">
        <v>51</v>
      </c>
      <c r="V206" s="18" t="n">
        <v>50</v>
      </c>
      <c r="W206" s="20" t="n"/>
      <c r="X206" s="20" t="n"/>
      <c r="Y206" s="20" t="n"/>
      <c r="Z206" s="20" t="n"/>
      <c r="AA206" s="20" t="n"/>
      <c r="AB206" s="20" t="n"/>
      <c r="AC206" s="21">
        <f>IF(W206="","",W206-K206)</f>
        <v/>
      </c>
      <c r="AD206" s="21">
        <f>IF(X206="","",X206-L206)</f>
        <v/>
      </c>
      <c r="AE206" s="21">
        <f>IF(Y206="","",Y206-M206)</f>
        <v/>
      </c>
      <c r="AF206" s="21">
        <f>IF(Z206="","",Z206-N206)</f>
        <v/>
      </c>
      <c r="AG206" s="21">
        <f>IF(AA206="","",AA206-O206)</f>
        <v/>
      </c>
      <c r="AH206" s="21">
        <f>IF(AB206="","",AB206-P206)</f>
        <v/>
      </c>
      <c r="AI206" s="18">
        <f>IF(COUNTA(W206:AB206)=0,"未入力",IF(COUNTA(W206:AB206)&lt;6,"一部入力",IF(COUNTIF(AC206:AH206,0)=6,"一致","差分あり")))</f>
        <v/>
      </c>
      <c r="AJ2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6" s="19" t="inlineStr"/>
      <c r="AL206" s="18" t="inlineStr">
        <is>
          <t>2026-06-29</t>
        </is>
      </c>
    </row>
    <row r="207" ht="22" customHeight="1">
      <c r="A207" s="17" t="inlineStr">
        <is>
          <t>1003101-LB0</t>
        </is>
      </c>
      <c r="B207" s="18" t="n">
        <v>1003101</v>
      </c>
      <c r="C207" s="17" t="inlineStr">
        <is>
          <t>BIYamawaki01</t>
        </is>
      </c>
      <c r="D207" s="17" t="inlineStr">
        <is>
          <t>BIYamawaki</t>
        </is>
      </c>
      <c r="E207" s="17" t="inlineStr">
        <is>
          <t>山脇・ボン・イヴァール</t>
        </is>
      </c>
      <c r="F207" s="19" t="inlineStr">
        <is>
          <t>我が道を行く</t>
        </is>
      </c>
      <c r="G207" s="18" t="inlineStr">
        <is>
          <t>A</t>
        </is>
      </c>
      <c r="H207" s="17" t="inlineStr">
        <is>
          <t>Attacker</t>
        </is>
      </c>
      <c r="I207" s="18" t="n">
        <v>0</v>
      </c>
      <c r="J207" s="18" t="n">
        <v>20</v>
      </c>
      <c r="K207" s="18" t="n">
        <v>258</v>
      </c>
      <c r="L207" s="18" t="n">
        <v>288</v>
      </c>
      <c r="M207" s="18" t="n">
        <v>275</v>
      </c>
      <c r="N207" s="18" t="n">
        <v>246</v>
      </c>
      <c r="O207" s="18" t="n">
        <v>291</v>
      </c>
      <c r="P207" s="18" t="n">
        <v>289</v>
      </c>
      <c r="Q207" s="18" t="n">
        <v>26</v>
      </c>
      <c r="R207" s="18" t="n">
        <v>29</v>
      </c>
      <c r="S207" s="18" t="n">
        <v>28</v>
      </c>
      <c r="T207" s="18" t="n">
        <v>25</v>
      </c>
      <c r="U207" s="18" t="n">
        <v>30</v>
      </c>
      <c r="V207" s="18" t="n">
        <v>29</v>
      </c>
      <c r="W207" s="20" t="n"/>
      <c r="X207" s="20" t="n"/>
      <c r="Y207" s="20" t="n"/>
      <c r="Z207" s="20" t="n"/>
      <c r="AA207" s="20" t="n"/>
      <c r="AB207" s="20" t="n"/>
      <c r="AC207" s="21">
        <f>IF(W207="","",W207-K207)</f>
        <v/>
      </c>
      <c r="AD207" s="21">
        <f>IF(X207="","",X207-L207)</f>
        <v/>
      </c>
      <c r="AE207" s="21">
        <f>IF(Y207="","",Y207-M207)</f>
        <v/>
      </c>
      <c r="AF207" s="21">
        <f>IF(Z207="","",Z207-N207)</f>
        <v/>
      </c>
      <c r="AG207" s="21">
        <f>IF(AA207="","",AA207-O207)</f>
        <v/>
      </c>
      <c r="AH207" s="21">
        <f>IF(AB207="","",AB207-P207)</f>
        <v/>
      </c>
      <c r="AI207" s="18">
        <f>IF(COUNTA(W207:AB207)=0,"未入力",IF(COUNTA(W207:AB207)&lt;6,"一部入力",IF(COUNTIF(AC207:AH207,0)=6,"一致","差分あり")))</f>
        <v/>
      </c>
      <c r="AJ2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7" s="19" t="inlineStr"/>
      <c r="AL207" s="18" t="inlineStr">
        <is>
          <t>2026-06-29</t>
        </is>
      </c>
    </row>
    <row r="208" ht="22" customHeight="1">
      <c r="A208" s="17" t="inlineStr">
        <is>
          <t>1003101-LB20</t>
        </is>
      </c>
      <c r="B208" s="18" t="n">
        <v>1003101</v>
      </c>
      <c r="C208" s="17" t="inlineStr">
        <is>
          <t>BIYamawaki01</t>
        </is>
      </c>
      <c r="D208" s="17" t="inlineStr">
        <is>
          <t>BIYamawaki</t>
        </is>
      </c>
      <c r="E208" s="17" t="inlineStr">
        <is>
          <t>山脇・ボン・イヴァール</t>
        </is>
      </c>
      <c r="F208" s="19" t="inlineStr">
        <is>
          <t>我が道を行く</t>
        </is>
      </c>
      <c r="G208" s="18" t="inlineStr">
        <is>
          <t>A</t>
        </is>
      </c>
      <c r="H208" s="17" t="inlineStr">
        <is>
          <t>Attacker</t>
        </is>
      </c>
      <c r="I208" s="18" t="n">
        <v>20</v>
      </c>
      <c r="J208" s="18" t="n">
        <v>20</v>
      </c>
      <c r="K208" s="18" t="n">
        <v>304</v>
      </c>
      <c r="L208" s="18" t="n">
        <v>332</v>
      </c>
      <c r="M208" s="18" t="n">
        <v>319</v>
      </c>
      <c r="N208" s="18" t="n">
        <v>290</v>
      </c>
      <c r="O208" s="18" t="n">
        <v>335</v>
      </c>
      <c r="P208" s="18" t="n">
        <v>335</v>
      </c>
      <c r="Q208" s="18" t="n">
        <v>31</v>
      </c>
      <c r="R208" s="18" t="n">
        <v>34</v>
      </c>
      <c r="S208" s="18" t="n">
        <v>32</v>
      </c>
      <c r="T208" s="18" t="n">
        <v>29</v>
      </c>
      <c r="U208" s="18" t="n">
        <v>34</v>
      </c>
      <c r="V208" s="18" t="n">
        <v>34</v>
      </c>
      <c r="W208" s="20" t="n"/>
      <c r="X208" s="20" t="n"/>
      <c r="Y208" s="20" t="n"/>
      <c r="Z208" s="20" t="n"/>
      <c r="AA208" s="20" t="n"/>
      <c r="AB208" s="20" t="n"/>
      <c r="AC208" s="21">
        <f>IF(W208="","",W208-K208)</f>
        <v/>
      </c>
      <c r="AD208" s="21">
        <f>IF(X208="","",X208-L208)</f>
        <v/>
      </c>
      <c r="AE208" s="21">
        <f>IF(Y208="","",Y208-M208)</f>
        <v/>
      </c>
      <c r="AF208" s="21">
        <f>IF(Z208="","",Z208-N208)</f>
        <v/>
      </c>
      <c r="AG208" s="21">
        <f>IF(AA208="","",AA208-O208)</f>
        <v/>
      </c>
      <c r="AH208" s="21">
        <f>IF(AB208="","",AB208-P208)</f>
        <v/>
      </c>
      <c r="AI208" s="18">
        <f>IF(COUNTA(W208:AB208)=0,"未入力",IF(COUNTA(W208:AB208)&lt;6,"一部入力",IF(COUNTIF(AC208:AH208,0)=6,"一致","差分あり")))</f>
        <v/>
      </c>
      <c r="AJ2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8" s="19" t="inlineStr"/>
      <c r="AL208" s="18" t="inlineStr">
        <is>
          <t>2026-06-29</t>
        </is>
      </c>
    </row>
    <row r="209" ht="22" customHeight="1">
      <c r="A209" s="17" t="inlineStr">
        <is>
          <t>1003102-LB0</t>
        </is>
      </c>
      <c r="B209" s="18" t="n">
        <v>1003102</v>
      </c>
      <c r="C209" s="17" t="inlineStr">
        <is>
          <t>BIYamawaki02</t>
        </is>
      </c>
      <c r="D209" s="17" t="inlineStr">
        <is>
          <t>BIYamawaki</t>
        </is>
      </c>
      <c r="E209" s="17" t="inlineStr">
        <is>
          <t>山脇・ボン・イヴァール</t>
        </is>
      </c>
      <c r="F209" s="19" t="inlineStr">
        <is>
          <t>魔王の帰還</t>
        </is>
      </c>
      <c r="G209" s="18" t="inlineStr">
        <is>
          <t>S</t>
        </is>
      </c>
      <c r="H209" s="17" t="inlineStr">
        <is>
          <t>Attacker</t>
        </is>
      </c>
      <c r="I209" s="18" t="n">
        <v>0</v>
      </c>
      <c r="J209" s="18" t="n">
        <v>10</v>
      </c>
      <c r="K209" s="18" t="n">
        <v>332</v>
      </c>
      <c r="L209" s="18" t="n">
        <v>316</v>
      </c>
      <c r="M209" s="18" t="n">
        <v>342</v>
      </c>
      <c r="N209" s="18" t="n">
        <v>350</v>
      </c>
      <c r="O209" s="18" t="n">
        <v>307</v>
      </c>
      <c r="P209" s="18" t="n">
        <v>317</v>
      </c>
      <c r="Q209" s="18" t="n">
        <v>34</v>
      </c>
      <c r="R209" s="18" t="n">
        <v>32</v>
      </c>
      <c r="S209" s="18" t="n">
        <v>35</v>
      </c>
      <c r="T209" s="18" t="n">
        <v>35</v>
      </c>
      <c r="U209" s="18" t="n">
        <v>31</v>
      </c>
      <c r="V209" s="18" t="n">
        <v>32</v>
      </c>
      <c r="W209" s="20" t="n"/>
      <c r="X209" s="20" t="n"/>
      <c r="Y209" s="20" t="n"/>
      <c r="Z209" s="20" t="n"/>
      <c r="AA209" s="20" t="n"/>
      <c r="AB209" s="20" t="n"/>
      <c r="AC209" s="21">
        <f>IF(W209="","",W209-K209)</f>
        <v/>
      </c>
      <c r="AD209" s="21">
        <f>IF(X209="","",X209-L209)</f>
        <v/>
      </c>
      <c r="AE209" s="21">
        <f>IF(Y209="","",Y209-M209)</f>
        <v/>
      </c>
      <c r="AF209" s="21">
        <f>IF(Z209="","",Z209-N209)</f>
        <v/>
      </c>
      <c r="AG209" s="21">
        <f>IF(AA209="","",AA209-O209)</f>
        <v/>
      </c>
      <c r="AH209" s="21">
        <f>IF(AB209="","",AB209-P209)</f>
        <v/>
      </c>
      <c r="AI209" s="18">
        <f>IF(COUNTA(W209:AB209)=0,"未入力",IF(COUNTA(W209:AB209)&lt;6,"一部入力",IF(COUNTIF(AC209:AH209,0)=6,"一致","差分あり")))</f>
        <v/>
      </c>
      <c r="AJ2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09" s="19" t="inlineStr"/>
      <c r="AL209" s="18" t="inlineStr">
        <is>
          <t>2026-06-29</t>
        </is>
      </c>
    </row>
    <row r="210" ht="22" customHeight="1">
      <c r="A210" s="17" t="inlineStr">
        <is>
          <t>1003102-LB10</t>
        </is>
      </c>
      <c r="B210" s="18" t="n">
        <v>1003102</v>
      </c>
      <c r="C210" s="17" t="inlineStr">
        <is>
          <t>BIYamawaki02</t>
        </is>
      </c>
      <c r="D210" s="17" t="inlineStr">
        <is>
          <t>BIYamawaki</t>
        </is>
      </c>
      <c r="E210" s="17" t="inlineStr">
        <is>
          <t>山脇・ボン・イヴァール</t>
        </is>
      </c>
      <c r="F210" s="19" t="inlineStr">
        <is>
          <t>魔王の帰還</t>
        </is>
      </c>
      <c r="G210" s="18" t="inlineStr">
        <is>
          <t>S</t>
        </is>
      </c>
      <c r="H210" s="17" t="inlineStr">
        <is>
          <t>Attacker</t>
        </is>
      </c>
      <c r="I210" s="18" t="n">
        <v>10</v>
      </c>
      <c r="J210" s="18" t="n">
        <v>10</v>
      </c>
      <c r="K210" s="18" t="n">
        <v>401</v>
      </c>
      <c r="L210" s="18" t="n">
        <v>381</v>
      </c>
      <c r="M210" s="18" t="n">
        <v>410</v>
      </c>
      <c r="N210" s="18" t="n">
        <v>416</v>
      </c>
      <c r="O210" s="18" t="n">
        <v>373</v>
      </c>
      <c r="P210" s="18" t="n">
        <v>385</v>
      </c>
      <c r="Q210" s="18" t="n">
        <v>41</v>
      </c>
      <c r="R210" s="18" t="n">
        <v>39</v>
      </c>
      <c r="S210" s="18" t="n">
        <v>41</v>
      </c>
      <c r="T210" s="18" t="n">
        <v>42</v>
      </c>
      <c r="U210" s="18" t="n">
        <v>38</v>
      </c>
      <c r="V210" s="18" t="n">
        <v>39</v>
      </c>
      <c r="W210" s="20" t="n"/>
      <c r="X210" s="20" t="n"/>
      <c r="Y210" s="20" t="n"/>
      <c r="Z210" s="20" t="n"/>
      <c r="AA210" s="20" t="n"/>
      <c r="AB210" s="20" t="n"/>
      <c r="AC210" s="21">
        <f>IF(W210="","",W210-K210)</f>
        <v/>
      </c>
      <c r="AD210" s="21">
        <f>IF(X210="","",X210-L210)</f>
        <v/>
      </c>
      <c r="AE210" s="21">
        <f>IF(Y210="","",Y210-M210)</f>
        <v/>
      </c>
      <c r="AF210" s="21">
        <f>IF(Z210="","",Z210-N210)</f>
        <v/>
      </c>
      <c r="AG210" s="21">
        <f>IF(AA210="","",AA210-O210)</f>
        <v/>
      </c>
      <c r="AH210" s="21">
        <f>IF(AB210="","",AB210-P210)</f>
        <v/>
      </c>
      <c r="AI210" s="18">
        <f>IF(COUNTA(W210:AB210)=0,"未入力",IF(COUNTA(W210:AB210)&lt;6,"一部入力",IF(COUNTIF(AC210:AH210,0)=6,"一致","差分あり")))</f>
        <v/>
      </c>
      <c r="AJ2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0" s="19" t="inlineStr"/>
      <c r="AL210" s="18" t="inlineStr">
        <is>
          <t>2026-06-29</t>
        </is>
      </c>
    </row>
    <row r="211" ht="22" customHeight="1">
      <c r="A211" s="17" t="inlineStr">
        <is>
          <t>1003103-LB0</t>
        </is>
      </c>
      <c r="B211" s="18" t="n">
        <v>1003103</v>
      </c>
      <c r="C211" s="17" t="inlineStr">
        <is>
          <t>BIYamawaki03</t>
        </is>
      </c>
      <c r="D211" s="17" t="inlineStr">
        <is>
          <t>BIYamawaki</t>
        </is>
      </c>
      <c r="E211" s="17" t="inlineStr">
        <is>
          <t>山脇・ボン・イヴァール</t>
        </is>
      </c>
      <c r="F211" s="19" t="inlineStr">
        <is>
          <t>Ebon Knight</t>
        </is>
      </c>
      <c r="G211" s="18" t="inlineStr">
        <is>
          <t>SS</t>
        </is>
      </c>
      <c r="H211" s="17" t="inlineStr">
        <is>
          <t>Attacker</t>
        </is>
      </c>
      <c r="I211" s="18" t="n">
        <v>0</v>
      </c>
      <c r="J211" s="18" t="n">
        <v>4</v>
      </c>
      <c r="K211" s="18" t="n">
        <v>430</v>
      </c>
      <c r="L211" s="18" t="n">
        <v>341</v>
      </c>
      <c r="M211" s="18" t="n">
        <v>359</v>
      </c>
      <c r="N211" s="18" t="n">
        <v>377</v>
      </c>
      <c r="O211" s="18" t="n">
        <v>378</v>
      </c>
      <c r="P211" s="18" t="n">
        <v>403</v>
      </c>
      <c r="Q211" s="18" t="n">
        <v>43</v>
      </c>
      <c r="R211" s="18" t="n">
        <v>35</v>
      </c>
      <c r="S211" s="18" t="n">
        <v>36</v>
      </c>
      <c r="T211" s="18" t="n">
        <v>38</v>
      </c>
      <c r="U211" s="18" t="n">
        <v>38</v>
      </c>
      <c r="V211" s="18" t="n">
        <v>41</v>
      </c>
      <c r="W211" s="20" t="n"/>
      <c r="X211" s="20" t="n"/>
      <c r="Y211" s="20" t="n"/>
      <c r="Z211" s="20" t="n"/>
      <c r="AA211" s="20" t="n"/>
      <c r="AB211" s="20" t="n"/>
      <c r="AC211" s="21">
        <f>IF(W211="","",W211-K211)</f>
        <v/>
      </c>
      <c r="AD211" s="21">
        <f>IF(X211="","",X211-L211)</f>
        <v/>
      </c>
      <c r="AE211" s="21">
        <f>IF(Y211="","",Y211-M211)</f>
        <v/>
      </c>
      <c r="AF211" s="21">
        <f>IF(Z211="","",Z211-N211)</f>
        <v/>
      </c>
      <c r="AG211" s="21">
        <f>IF(AA211="","",AA211-O211)</f>
        <v/>
      </c>
      <c r="AH211" s="21">
        <f>IF(AB211="","",AB211-P211)</f>
        <v/>
      </c>
      <c r="AI211" s="18">
        <f>IF(COUNTA(W211:AB211)=0,"未入力",IF(COUNTA(W211:AB211)&lt;6,"一部入力",IF(COUNTIF(AC211:AH211,0)=6,"一致","差分あり")))</f>
        <v/>
      </c>
      <c r="AJ2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1" s="19" t="inlineStr"/>
      <c r="AL211" s="18" t="inlineStr">
        <is>
          <t>2026-06-29</t>
        </is>
      </c>
    </row>
    <row r="212" ht="22" customHeight="1">
      <c r="A212" s="17" t="inlineStr">
        <is>
          <t>1003103-LB4</t>
        </is>
      </c>
      <c r="B212" s="18" t="n">
        <v>1003103</v>
      </c>
      <c r="C212" s="17" t="inlineStr">
        <is>
          <t>BIYamawaki03</t>
        </is>
      </c>
      <c r="D212" s="17" t="inlineStr">
        <is>
          <t>BIYamawaki</t>
        </is>
      </c>
      <c r="E212" s="17" t="inlineStr">
        <is>
          <t>山脇・ボン・イヴァール</t>
        </is>
      </c>
      <c r="F212" s="19" t="inlineStr">
        <is>
          <t>Ebon Knight</t>
        </is>
      </c>
      <c r="G212" s="18" t="inlineStr">
        <is>
          <t>SS</t>
        </is>
      </c>
      <c r="H212" s="17" t="inlineStr">
        <is>
          <t>Attacker</t>
        </is>
      </c>
      <c r="I212" s="18" t="n">
        <v>4</v>
      </c>
      <c r="J212" s="18" t="n">
        <v>4</v>
      </c>
      <c r="K212" s="18" t="n">
        <v>522</v>
      </c>
      <c r="L212" s="18" t="n">
        <v>428</v>
      </c>
      <c r="M212" s="18" t="n">
        <v>446</v>
      </c>
      <c r="N212" s="18" t="n">
        <v>465</v>
      </c>
      <c r="O212" s="18" t="n">
        <v>466</v>
      </c>
      <c r="P212" s="18" t="n">
        <v>493</v>
      </c>
      <c r="Q212" s="18" t="n">
        <v>53</v>
      </c>
      <c r="R212" s="18" t="n">
        <v>43</v>
      </c>
      <c r="S212" s="18" t="n">
        <v>45</v>
      </c>
      <c r="T212" s="18" t="n">
        <v>47</v>
      </c>
      <c r="U212" s="18" t="n">
        <v>47</v>
      </c>
      <c r="V212" s="18" t="n">
        <v>50</v>
      </c>
      <c r="W212" s="20" t="n"/>
      <c r="X212" s="20" t="n"/>
      <c r="Y212" s="20" t="n"/>
      <c r="Z212" s="20" t="n"/>
      <c r="AA212" s="20" t="n"/>
      <c r="AB212" s="20" t="n"/>
      <c r="AC212" s="21">
        <f>IF(W212="","",W212-K212)</f>
        <v/>
      </c>
      <c r="AD212" s="21">
        <f>IF(X212="","",X212-L212)</f>
        <v/>
      </c>
      <c r="AE212" s="21">
        <f>IF(Y212="","",Y212-M212)</f>
        <v/>
      </c>
      <c r="AF212" s="21">
        <f>IF(Z212="","",Z212-N212)</f>
        <v/>
      </c>
      <c r="AG212" s="21">
        <f>IF(AA212="","",AA212-O212)</f>
        <v/>
      </c>
      <c r="AH212" s="21">
        <f>IF(AB212="","",AB212-P212)</f>
        <v/>
      </c>
      <c r="AI212" s="18">
        <f>IF(COUNTA(W212:AB212)=0,"未入力",IF(COUNTA(W212:AB212)&lt;6,"一部入力",IF(COUNTIF(AC212:AH212,0)=6,"一致","差分あり")))</f>
        <v/>
      </c>
      <c r="AJ2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2" s="19" t="inlineStr"/>
      <c r="AL212" s="18" t="inlineStr">
        <is>
          <t>2026-06-29</t>
        </is>
      </c>
    </row>
    <row r="213" ht="22" customHeight="1">
      <c r="A213" s="17" t="inlineStr">
        <is>
          <t>1003104-LB0</t>
        </is>
      </c>
      <c r="B213" s="18" t="n">
        <v>1003104</v>
      </c>
      <c r="C213" s="17" t="inlineStr">
        <is>
          <t>BIYamawaki04</t>
        </is>
      </c>
      <c r="D213" s="17" t="inlineStr">
        <is>
          <t>BIYamawaki</t>
        </is>
      </c>
      <c r="E213" s="17" t="inlineStr">
        <is>
          <t>山脇・ボン・イヴァール</t>
        </is>
      </c>
      <c r="F213" s="19" t="inlineStr">
        <is>
          <t>Holy Knight</t>
        </is>
      </c>
      <c r="G213" s="18" t="inlineStr">
        <is>
          <t>SS</t>
        </is>
      </c>
      <c r="H213" s="17" t="inlineStr">
        <is>
          <t>Attacker</t>
        </is>
      </c>
      <c r="I213" s="18" t="n">
        <v>0</v>
      </c>
      <c r="J213" s="18" t="n">
        <v>4</v>
      </c>
      <c r="K213" s="18" t="n">
        <v>453</v>
      </c>
      <c r="L213" s="18" t="n">
        <v>362</v>
      </c>
      <c r="M213" s="18" t="n">
        <v>381</v>
      </c>
      <c r="N213" s="18" t="n">
        <v>399</v>
      </c>
      <c r="O213" s="18" t="n">
        <v>400</v>
      </c>
      <c r="P213" s="18" t="n">
        <v>425</v>
      </c>
      <c r="Q213" s="18" t="n">
        <v>46</v>
      </c>
      <c r="R213" s="18" t="n">
        <v>37</v>
      </c>
      <c r="S213" s="18" t="n">
        <v>39</v>
      </c>
      <c r="T213" s="18" t="n">
        <v>40</v>
      </c>
      <c r="U213" s="18" t="n">
        <v>40</v>
      </c>
      <c r="V213" s="18" t="n">
        <v>43</v>
      </c>
      <c r="W213" s="20" t="n"/>
      <c r="X213" s="20" t="n"/>
      <c r="Y213" s="20" t="n"/>
      <c r="Z213" s="20" t="n"/>
      <c r="AA213" s="20" t="n"/>
      <c r="AB213" s="20" t="n"/>
      <c r="AC213" s="21">
        <f>IF(W213="","",W213-K213)</f>
        <v/>
      </c>
      <c r="AD213" s="21">
        <f>IF(X213="","",X213-L213)</f>
        <v/>
      </c>
      <c r="AE213" s="21">
        <f>IF(Y213="","",Y213-M213)</f>
        <v/>
      </c>
      <c r="AF213" s="21">
        <f>IF(Z213="","",Z213-N213)</f>
        <v/>
      </c>
      <c r="AG213" s="21">
        <f>IF(AA213="","",AA213-O213)</f>
        <v/>
      </c>
      <c r="AH213" s="21">
        <f>IF(AB213="","",AB213-P213)</f>
        <v/>
      </c>
      <c r="AI213" s="18">
        <f>IF(COUNTA(W213:AB213)=0,"未入力",IF(COUNTA(W213:AB213)&lt;6,"一部入力",IF(COUNTIF(AC213:AH213,0)=6,"一致","差分あり")))</f>
        <v/>
      </c>
      <c r="AJ2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3" s="19" t="inlineStr"/>
      <c r="AL213" s="18" t="inlineStr">
        <is>
          <t>2026-06-29</t>
        </is>
      </c>
    </row>
    <row r="214" ht="22" customHeight="1">
      <c r="A214" s="17" t="inlineStr">
        <is>
          <t>1003104-LB4</t>
        </is>
      </c>
      <c r="B214" s="18" t="n">
        <v>1003104</v>
      </c>
      <c r="C214" s="17" t="inlineStr">
        <is>
          <t>BIYamawaki04</t>
        </is>
      </c>
      <c r="D214" s="17" t="inlineStr">
        <is>
          <t>BIYamawaki</t>
        </is>
      </c>
      <c r="E214" s="17" t="inlineStr">
        <is>
          <t>山脇・ボン・イヴァール</t>
        </is>
      </c>
      <c r="F214" s="19" t="inlineStr">
        <is>
          <t>Holy Knight</t>
        </is>
      </c>
      <c r="G214" s="18" t="inlineStr">
        <is>
          <t>SS</t>
        </is>
      </c>
      <c r="H214" s="17" t="inlineStr">
        <is>
          <t>Attacker</t>
        </is>
      </c>
      <c r="I214" s="18" t="n">
        <v>4</v>
      </c>
      <c r="J214" s="18" t="n">
        <v>4</v>
      </c>
      <c r="K214" s="18" t="n">
        <v>545</v>
      </c>
      <c r="L214" s="18" t="n">
        <v>450</v>
      </c>
      <c r="M214" s="18" t="n">
        <v>467</v>
      </c>
      <c r="N214" s="18" t="n">
        <v>486</v>
      </c>
      <c r="O214" s="18" t="n">
        <v>488</v>
      </c>
      <c r="P214" s="18" t="n">
        <v>516</v>
      </c>
      <c r="Q214" s="18" t="n">
        <v>55</v>
      </c>
      <c r="R214" s="18" t="n">
        <v>45</v>
      </c>
      <c r="S214" s="18" t="n">
        <v>47</v>
      </c>
      <c r="T214" s="18" t="n">
        <v>49</v>
      </c>
      <c r="U214" s="18" t="n">
        <v>49</v>
      </c>
      <c r="V214" s="18" t="n">
        <v>52</v>
      </c>
      <c r="W214" s="20" t="n"/>
      <c r="X214" s="20" t="n"/>
      <c r="Y214" s="20" t="n"/>
      <c r="Z214" s="20" t="n"/>
      <c r="AA214" s="20" t="n"/>
      <c r="AB214" s="20" t="n"/>
      <c r="AC214" s="21">
        <f>IF(W214="","",W214-K214)</f>
        <v/>
      </c>
      <c r="AD214" s="21">
        <f>IF(X214="","",X214-L214)</f>
        <v/>
      </c>
      <c r="AE214" s="21">
        <f>IF(Y214="","",Y214-M214)</f>
        <v/>
      </c>
      <c r="AF214" s="21">
        <f>IF(Z214="","",Z214-N214)</f>
        <v/>
      </c>
      <c r="AG214" s="21">
        <f>IF(AA214="","",AA214-O214)</f>
        <v/>
      </c>
      <c r="AH214" s="21">
        <f>IF(AB214="","",AB214-P214)</f>
        <v/>
      </c>
      <c r="AI214" s="18">
        <f>IF(COUNTA(W214:AB214)=0,"未入力",IF(COUNTA(W214:AB214)&lt;6,"一部入力",IF(COUNTIF(AC214:AH214,0)=6,"一致","差分あり")))</f>
        <v/>
      </c>
      <c r="AJ2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4" s="19" t="inlineStr"/>
      <c r="AL214" s="18" t="inlineStr">
        <is>
          <t>2026-06-29</t>
        </is>
      </c>
    </row>
    <row r="215" ht="22" customHeight="1">
      <c r="A215" s="17" t="inlineStr">
        <is>
          <t>1003105-LB0</t>
        </is>
      </c>
      <c r="B215" s="18" t="n">
        <v>1003105</v>
      </c>
      <c r="C215" s="17" t="inlineStr">
        <is>
          <t>BIYamawaki05</t>
        </is>
      </c>
      <c r="D215" s="17" t="inlineStr">
        <is>
          <t>BIYamawaki</t>
        </is>
      </c>
      <c r="E215" s="17" t="inlineStr">
        <is>
          <t>山脇・ボン・イヴァール</t>
        </is>
      </c>
      <c r="F215" s="19" t="inlineStr">
        <is>
          <t>山脇様、ご乱心</t>
        </is>
      </c>
      <c r="G215" s="18" t="inlineStr">
        <is>
          <t>S</t>
        </is>
      </c>
      <c r="H215" s="17" t="inlineStr">
        <is>
          <t>Attacker</t>
        </is>
      </c>
      <c r="I215" s="18" t="n">
        <v>0</v>
      </c>
      <c r="J215" s="18" t="n">
        <v>10</v>
      </c>
      <c r="K215" s="18" t="n">
        <v>320</v>
      </c>
      <c r="L215" s="18" t="n">
        <v>348</v>
      </c>
      <c r="M215" s="18" t="n">
        <v>313</v>
      </c>
      <c r="N215" s="18" t="n">
        <v>306</v>
      </c>
      <c r="O215" s="18" t="n">
        <v>351</v>
      </c>
      <c r="P215" s="18" t="n">
        <v>328</v>
      </c>
      <c r="Q215" s="18" t="n">
        <v>32</v>
      </c>
      <c r="R215" s="18" t="n">
        <v>35</v>
      </c>
      <c r="S215" s="18" t="n">
        <v>32</v>
      </c>
      <c r="T215" s="18" t="n">
        <v>31</v>
      </c>
      <c r="U215" s="18" t="n">
        <v>36</v>
      </c>
      <c r="V215" s="18" t="n">
        <v>33</v>
      </c>
      <c r="W215" s="20" t="n"/>
      <c r="X215" s="20" t="n"/>
      <c r="Y215" s="20" t="n"/>
      <c r="Z215" s="20" t="n"/>
      <c r="AA215" s="20" t="n"/>
      <c r="AB215" s="20" t="n"/>
      <c r="AC215" s="21">
        <f>IF(W215="","",W215-K215)</f>
        <v/>
      </c>
      <c r="AD215" s="21">
        <f>IF(X215="","",X215-L215)</f>
        <v/>
      </c>
      <c r="AE215" s="21">
        <f>IF(Y215="","",Y215-M215)</f>
        <v/>
      </c>
      <c r="AF215" s="21">
        <f>IF(Z215="","",Z215-N215)</f>
        <v/>
      </c>
      <c r="AG215" s="21">
        <f>IF(AA215="","",AA215-O215)</f>
        <v/>
      </c>
      <c r="AH215" s="21">
        <f>IF(AB215="","",AB215-P215)</f>
        <v/>
      </c>
      <c r="AI215" s="18">
        <f>IF(COUNTA(W215:AB215)=0,"未入力",IF(COUNTA(W215:AB215)&lt;6,"一部入力",IF(COUNTIF(AC215:AH215,0)=6,"一致","差分あり")))</f>
        <v/>
      </c>
      <c r="AJ2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5" s="19" t="inlineStr"/>
      <c r="AL215" s="18" t="inlineStr">
        <is>
          <t>2026-06-29</t>
        </is>
      </c>
    </row>
    <row r="216" ht="22" customHeight="1">
      <c r="A216" s="17" t="inlineStr">
        <is>
          <t>1003105-LB10</t>
        </is>
      </c>
      <c r="B216" s="18" t="n">
        <v>1003105</v>
      </c>
      <c r="C216" s="17" t="inlineStr">
        <is>
          <t>BIYamawaki05</t>
        </is>
      </c>
      <c r="D216" s="17" t="inlineStr">
        <is>
          <t>BIYamawaki</t>
        </is>
      </c>
      <c r="E216" s="17" t="inlineStr">
        <is>
          <t>山脇・ボン・イヴァール</t>
        </is>
      </c>
      <c r="F216" s="19" t="inlineStr">
        <is>
          <t>山脇様、ご乱心</t>
        </is>
      </c>
      <c r="G216" s="18" t="inlineStr">
        <is>
          <t>S</t>
        </is>
      </c>
      <c r="H216" s="17" t="inlineStr">
        <is>
          <t>Attacker</t>
        </is>
      </c>
      <c r="I216" s="18" t="n">
        <v>10</v>
      </c>
      <c r="J216" s="18" t="n">
        <v>10</v>
      </c>
      <c r="K216" s="18" t="n">
        <v>389</v>
      </c>
      <c r="L216" s="18" t="n">
        <v>414</v>
      </c>
      <c r="M216" s="18" t="n">
        <v>378</v>
      </c>
      <c r="N216" s="18" t="n">
        <v>372</v>
      </c>
      <c r="O216" s="18" t="n">
        <v>417</v>
      </c>
      <c r="P216" s="18" t="n">
        <v>396</v>
      </c>
      <c r="Q216" s="18" t="n">
        <v>39</v>
      </c>
      <c r="R216" s="18" t="n">
        <v>42</v>
      </c>
      <c r="S216" s="18" t="n">
        <v>38</v>
      </c>
      <c r="T216" s="18" t="n">
        <v>38</v>
      </c>
      <c r="U216" s="18" t="n">
        <v>42</v>
      </c>
      <c r="V216" s="18" t="n">
        <v>40</v>
      </c>
      <c r="W216" s="20" t="n"/>
      <c r="X216" s="20" t="n"/>
      <c r="Y216" s="20" t="n"/>
      <c r="Z216" s="20" t="n"/>
      <c r="AA216" s="20" t="n"/>
      <c r="AB216" s="20" t="n"/>
      <c r="AC216" s="21">
        <f>IF(W216="","",W216-K216)</f>
        <v/>
      </c>
      <c r="AD216" s="21">
        <f>IF(X216="","",X216-L216)</f>
        <v/>
      </c>
      <c r="AE216" s="21">
        <f>IF(Y216="","",Y216-M216)</f>
        <v/>
      </c>
      <c r="AF216" s="21">
        <f>IF(Z216="","",Z216-N216)</f>
        <v/>
      </c>
      <c r="AG216" s="21">
        <f>IF(AA216="","",AA216-O216)</f>
        <v/>
      </c>
      <c r="AH216" s="21">
        <f>IF(AB216="","",AB216-P216)</f>
        <v/>
      </c>
      <c r="AI216" s="18">
        <f>IF(COUNTA(W216:AB216)=0,"未入力",IF(COUNTA(W216:AB216)&lt;6,"一部入力",IF(COUNTIF(AC216:AH216,0)=6,"一致","差分あり")))</f>
        <v/>
      </c>
      <c r="AJ2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6" s="19" t="inlineStr"/>
      <c r="AL216" s="18" t="inlineStr">
        <is>
          <t>2026-06-29</t>
        </is>
      </c>
    </row>
    <row r="217" ht="22" customHeight="1">
      <c r="A217" s="17" t="inlineStr">
        <is>
          <t>1003106-LB0</t>
        </is>
      </c>
      <c r="B217" s="18" t="n">
        <v>1003106</v>
      </c>
      <c r="C217" s="17" t="inlineStr">
        <is>
          <t>BIYamawaki06</t>
        </is>
      </c>
      <c r="D217" s="17" t="inlineStr">
        <is>
          <t>BIYamawaki</t>
        </is>
      </c>
      <c r="E217" s="17" t="inlineStr">
        <is>
          <t>山脇・ボン・イヴァール</t>
        </is>
      </c>
      <c r="F217" s="19" t="inlineStr">
        <is>
          <t>Daydream Believer</t>
        </is>
      </c>
      <c r="G217" s="18" t="inlineStr">
        <is>
          <t>SS</t>
        </is>
      </c>
      <c r="H217" s="17" t="inlineStr">
        <is>
          <t>Attacker</t>
        </is>
      </c>
      <c r="I217" s="18" t="n">
        <v>0</v>
      </c>
      <c r="J217" s="18" t="n">
        <v>4</v>
      </c>
      <c r="K217" s="18" t="n">
        <v>453</v>
      </c>
      <c r="L217" s="18" t="n">
        <v>362</v>
      </c>
      <c r="M217" s="18" t="n">
        <v>381</v>
      </c>
      <c r="N217" s="18" t="n">
        <v>399</v>
      </c>
      <c r="O217" s="18" t="n">
        <v>400</v>
      </c>
      <c r="P217" s="18" t="n">
        <v>425</v>
      </c>
      <c r="Q217" s="18" t="n">
        <v>46</v>
      </c>
      <c r="R217" s="18" t="n">
        <v>37</v>
      </c>
      <c r="S217" s="18" t="n">
        <v>39</v>
      </c>
      <c r="T217" s="18" t="n">
        <v>40</v>
      </c>
      <c r="U217" s="18" t="n">
        <v>40</v>
      </c>
      <c r="V217" s="18" t="n">
        <v>43</v>
      </c>
      <c r="W217" s="20" t="n"/>
      <c r="X217" s="20" t="n"/>
      <c r="Y217" s="20" t="n"/>
      <c r="Z217" s="20" t="n"/>
      <c r="AA217" s="20" t="n"/>
      <c r="AB217" s="20" t="n"/>
      <c r="AC217" s="21">
        <f>IF(W217="","",W217-K217)</f>
        <v/>
      </c>
      <c r="AD217" s="21">
        <f>IF(X217="","",X217-L217)</f>
        <v/>
      </c>
      <c r="AE217" s="21">
        <f>IF(Y217="","",Y217-M217)</f>
        <v/>
      </c>
      <c r="AF217" s="21">
        <f>IF(Z217="","",Z217-N217)</f>
        <v/>
      </c>
      <c r="AG217" s="21">
        <f>IF(AA217="","",AA217-O217)</f>
        <v/>
      </c>
      <c r="AH217" s="21">
        <f>IF(AB217="","",AB217-P217)</f>
        <v/>
      </c>
      <c r="AI217" s="18">
        <f>IF(COUNTA(W217:AB217)=0,"未入力",IF(COUNTA(W217:AB217)&lt;6,"一部入力",IF(COUNTIF(AC217:AH217,0)=6,"一致","差分あり")))</f>
        <v/>
      </c>
      <c r="AJ2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7" s="19" t="inlineStr"/>
      <c r="AL217" s="18" t="inlineStr">
        <is>
          <t>2026-06-29</t>
        </is>
      </c>
    </row>
    <row r="218" ht="22" customHeight="1">
      <c r="A218" s="17" t="inlineStr">
        <is>
          <t>1003106-LB4</t>
        </is>
      </c>
      <c r="B218" s="18" t="n">
        <v>1003106</v>
      </c>
      <c r="C218" s="17" t="inlineStr">
        <is>
          <t>BIYamawaki06</t>
        </is>
      </c>
      <c r="D218" s="17" t="inlineStr">
        <is>
          <t>BIYamawaki</t>
        </is>
      </c>
      <c r="E218" s="17" t="inlineStr">
        <is>
          <t>山脇・ボン・イヴァール</t>
        </is>
      </c>
      <c r="F218" s="19" t="inlineStr">
        <is>
          <t>Daydream Believer</t>
        </is>
      </c>
      <c r="G218" s="18" t="inlineStr">
        <is>
          <t>SS</t>
        </is>
      </c>
      <c r="H218" s="17" t="inlineStr">
        <is>
          <t>Attacker</t>
        </is>
      </c>
      <c r="I218" s="18" t="n">
        <v>4</v>
      </c>
      <c r="J218" s="18" t="n">
        <v>4</v>
      </c>
      <c r="K218" s="18" t="n">
        <v>545</v>
      </c>
      <c r="L218" s="18" t="n">
        <v>450</v>
      </c>
      <c r="M218" s="18" t="n">
        <v>467</v>
      </c>
      <c r="N218" s="18" t="n">
        <v>486</v>
      </c>
      <c r="O218" s="18" t="n">
        <v>488</v>
      </c>
      <c r="P218" s="18" t="n">
        <v>516</v>
      </c>
      <c r="Q218" s="18" t="n">
        <v>55</v>
      </c>
      <c r="R218" s="18" t="n">
        <v>45</v>
      </c>
      <c r="S218" s="18" t="n">
        <v>47</v>
      </c>
      <c r="T218" s="18" t="n">
        <v>49</v>
      </c>
      <c r="U218" s="18" t="n">
        <v>49</v>
      </c>
      <c r="V218" s="18" t="n">
        <v>52</v>
      </c>
      <c r="W218" s="20" t="n"/>
      <c r="X218" s="20" t="n"/>
      <c r="Y218" s="20" t="n"/>
      <c r="Z218" s="20" t="n"/>
      <c r="AA218" s="20" t="n"/>
      <c r="AB218" s="20" t="n"/>
      <c r="AC218" s="21">
        <f>IF(W218="","",W218-K218)</f>
        <v/>
      </c>
      <c r="AD218" s="21">
        <f>IF(X218="","",X218-L218)</f>
        <v/>
      </c>
      <c r="AE218" s="21">
        <f>IF(Y218="","",Y218-M218)</f>
        <v/>
      </c>
      <c r="AF218" s="21">
        <f>IF(Z218="","",Z218-N218)</f>
        <v/>
      </c>
      <c r="AG218" s="21">
        <f>IF(AA218="","",AA218-O218)</f>
        <v/>
      </c>
      <c r="AH218" s="21">
        <f>IF(AB218="","",AB218-P218)</f>
        <v/>
      </c>
      <c r="AI218" s="18">
        <f>IF(COUNTA(W218:AB218)=0,"未入力",IF(COUNTA(W218:AB218)&lt;6,"一部入力",IF(COUNTIF(AC218:AH218,0)=6,"一致","差分あり")))</f>
        <v/>
      </c>
      <c r="AJ2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8" s="19" t="inlineStr"/>
      <c r="AL218" s="18" t="inlineStr">
        <is>
          <t>2026-06-29</t>
        </is>
      </c>
    </row>
    <row r="219" ht="22" customHeight="1">
      <c r="A219" s="17" t="inlineStr">
        <is>
          <t>1003107-LB0</t>
        </is>
      </c>
      <c r="B219" s="18" t="n">
        <v>1003107</v>
      </c>
      <c r="C219" s="17" t="inlineStr">
        <is>
          <t>BIYamawaki07</t>
        </is>
      </c>
      <c r="D219" s="17" t="inlineStr">
        <is>
          <t>BIYamawaki</t>
        </is>
      </c>
      <c r="E219" s="17" t="inlineStr">
        <is>
          <t>山脇・ボン・イヴァール</t>
        </is>
      </c>
      <c r="F219" s="19" t="inlineStr">
        <is>
          <t>雲外蒼天</t>
        </is>
      </c>
      <c r="G219" s="18" t="inlineStr">
        <is>
          <t>SSR</t>
        </is>
      </c>
      <c r="H219" s="17" t="inlineStr">
        <is>
          <t>Blaster</t>
        </is>
      </c>
      <c r="I219" s="18" t="n">
        <v>0</v>
      </c>
      <c r="J219" s="18" t="n">
        <v>4</v>
      </c>
      <c r="K219" s="18" t="n">
        <v>453</v>
      </c>
      <c r="L219" s="18" t="n">
        <v>362</v>
      </c>
      <c r="M219" s="18" t="n">
        <v>381</v>
      </c>
      <c r="N219" s="18" t="n">
        <v>399</v>
      </c>
      <c r="O219" s="18" t="n">
        <v>400</v>
      </c>
      <c r="P219" s="18" t="n">
        <v>425</v>
      </c>
      <c r="Q219" s="18" t="n">
        <v>46</v>
      </c>
      <c r="R219" s="18" t="n">
        <v>37</v>
      </c>
      <c r="S219" s="18" t="n">
        <v>39</v>
      </c>
      <c r="T219" s="18" t="n">
        <v>40</v>
      </c>
      <c r="U219" s="18" t="n">
        <v>40</v>
      </c>
      <c r="V219" s="18" t="n">
        <v>43</v>
      </c>
      <c r="W219" s="20" t="n"/>
      <c r="X219" s="20" t="n"/>
      <c r="Y219" s="20" t="n"/>
      <c r="Z219" s="20" t="n"/>
      <c r="AA219" s="20" t="n"/>
      <c r="AB219" s="20" t="n"/>
      <c r="AC219" s="21">
        <f>IF(W219="","",W219-K219)</f>
        <v/>
      </c>
      <c r="AD219" s="21">
        <f>IF(X219="","",X219-L219)</f>
        <v/>
      </c>
      <c r="AE219" s="21">
        <f>IF(Y219="","",Y219-M219)</f>
        <v/>
      </c>
      <c r="AF219" s="21">
        <f>IF(Z219="","",Z219-N219)</f>
        <v/>
      </c>
      <c r="AG219" s="21">
        <f>IF(AA219="","",AA219-O219)</f>
        <v/>
      </c>
      <c r="AH219" s="21">
        <f>IF(AB219="","",AB219-P219)</f>
        <v/>
      </c>
      <c r="AI219" s="18">
        <f>IF(COUNTA(W219:AB219)=0,"未入力",IF(COUNTA(W219:AB219)&lt;6,"一部入力",IF(COUNTIF(AC219:AH219,0)=6,"一致","差分あり")))</f>
        <v/>
      </c>
      <c r="AJ2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19" s="19" t="inlineStr"/>
      <c r="AL219" s="18" t="inlineStr">
        <is>
          <t>2026-06-29</t>
        </is>
      </c>
    </row>
    <row r="220" ht="22" customHeight="1">
      <c r="A220" s="17" t="inlineStr">
        <is>
          <t>1003107-LB4</t>
        </is>
      </c>
      <c r="B220" s="18" t="n">
        <v>1003107</v>
      </c>
      <c r="C220" s="17" t="inlineStr">
        <is>
          <t>BIYamawaki07</t>
        </is>
      </c>
      <c r="D220" s="17" t="inlineStr">
        <is>
          <t>BIYamawaki</t>
        </is>
      </c>
      <c r="E220" s="17" t="inlineStr">
        <is>
          <t>山脇・ボン・イヴァール</t>
        </is>
      </c>
      <c r="F220" s="19" t="inlineStr">
        <is>
          <t>雲外蒼天</t>
        </is>
      </c>
      <c r="G220" s="18" t="inlineStr">
        <is>
          <t>SSR</t>
        </is>
      </c>
      <c r="H220" s="17" t="inlineStr">
        <is>
          <t>Blaster</t>
        </is>
      </c>
      <c r="I220" s="18" t="n">
        <v>4</v>
      </c>
      <c r="J220" s="18" t="n">
        <v>4</v>
      </c>
      <c r="K220" s="18" t="n">
        <v>545</v>
      </c>
      <c r="L220" s="18" t="n">
        <v>450</v>
      </c>
      <c r="M220" s="18" t="n">
        <v>467</v>
      </c>
      <c r="N220" s="18" t="n">
        <v>486</v>
      </c>
      <c r="O220" s="18" t="n">
        <v>488</v>
      </c>
      <c r="P220" s="18" t="n">
        <v>516</v>
      </c>
      <c r="Q220" s="18" t="n">
        <v>55</v>
      </c>
      <c r="R220" s="18" t="n">
        <v>45</v>
      </c>
      <c r="S220" s="18" t="n">
        <v>47</v>
      </c>
      <c r="T220" s="18" t="n">
        <v>49</v>
      </c>
      <c r="U220" s="18" t="n">
        <v>49</v>
      </c>
      <c r="V220" s="18" t="n">
        <v>52</v>
      </c>
      <c r="W220" s="20" t="n"/>
      <c r="X220" s="20" t="n"/>
      <c r="Y220" s="20" t="n"/>
      <c r="Z220" s="20" t="n"/>
      <c r="AA220" s="20" t="n"/>
      <c r="AB220" s="20" t="n"/>
      <c r="AC220" s="21">
        <f>IF(W220="","",W220-K220)</f>
        <v/>
      </c>
      <c r="AD220" s="21">
        <f>IF(X220="","",X220-L220)</f>
        <v/>
      </c>
      <c r="AE220" s="21">
        <f>IF(Y220="","",Y220-M220)</f>
        <v/>
      </c>
      <c r="AF220" s="21">
        <f>IF(Z220="","",Z220-N220)</f>
        <v/>
      </c>
      <c r="AG220" s="21">
        <f>IF(AA220="","",AA220-O220)</f>
        <v/>
      </c>
      <c r="AH220" s="21">
        <f>IF(AB220="","",AB220-P220)</f>
        <v/>
      </c>
      <c r="AI220" s="18">
        <f>IF(COUNTA(W220:AB220)=0,"未入力",IF(COUNTA(W220:AB220)&lt;6,"一部入力",IF(COUNTIF(AC220:AH220,0)=6,"一致","差分あり")))</f>
        <v/>
      </c>
      <c r="AJ2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0" s="19" t="inlineStr"/>
      <c r="AL220" s="18" t="inlineStr">
        <is>
          <t>2026-06-29</t>
        </is>
      </c>
    </row>
    <row r="221" ht="22" customHeight="1">
      <c r="A221" s="17" t="inlineStr">
        <is>
          <t>1003108-LB0</t>
        </is>
      </c>
      <c r="B221" s="18" t="n">
        <v>1003108</v>
      </c>
      <c r="C221" s="17" t="inlineStr">
        <is>
          <t>BIYamawaki08</t>
        </is>
      </c>
      <c r="D221" s="17" t="inlineStr">
        <is>
          <t>BIYamawaki</t>
        </is>
      </c>
      <c r="E221" s="17" t="inlineStr">
        <is>
          <t>山脇・ボン・イヴァール</t>
        </is>
      </c>
      <c r="F221" s="19" t="inlineStr">
        <is>
          <t>誇り高き魔王の凱旋</t>
        </is>
      </c>
      <c r="G221" s="18" t="inlineStr">
        <is>
          <t>SSR</t>
        </is>
      </c>
      <c r="H221" s="17" t="inlineStr">
        <is>
          <t>Attacker</t>
        </is>
      </c>
      <c r="I221" s="18" t="n">
        <v>0</v>
      </c>
      <c r="J221" s="18" t="n">
        <v>4</v>
      </c>
      <c r="K221" s="18" t="n">
        <v>453</v>
      </c>
      <c r="L221" s="18" t="n">
        <v>362</v>
      </c>
      <c r="M221" s="18" t="n">
        <v>381</v>
      </c>
      <c r="N221" s="18" t="n">
        <v>399</v>
      </c>
      <c r="O221" s="18" t="n">
        <v>400</v>
      </c>
      <c r="P221" s="18" t="n">
        <v>425</v>
      </c>
      <c r="Q221" s="18" t="n">
        <v>46</v>
      </c>
      <c r="R221" s="18" t="n">
        <v>37</v>
      </c>
      <c r="S221" s="18" t="n">
        <v>39</v>
      </c>
      <c r="T221" s="18" t="n">
        <v>40</v>
      </c>
      <c r="U221" s="18" t="n">
        <v>40</v>
      </c>
      <c r="V221" s="18" t="n">
        <v>43</v>
      </c>
      <c r="W221" s="20" t="n"/>
      <c r="X221" s="20" t="n"/>
      <c r="Y221" s="20" t="n"/>
      <c r="Z221" s="20" t="n"/>
      <c r="AA221" s="20" t="n"/>
      <c r="AB221" s="20" t="n"/>
      <c r="AC221" s="21">
        <f>IF(W221="","",W221-K221)</f>
        <v/>
      </c>
      <c r="AD221" s="21">
        <f>IF(X221="","",X221-L221)</f>
        <v/>
      </c>
      <c r="AE221" s="21">
        <f>IF(Y221="","",Y221-M221)</f>
        <v/>
      </c>
      <c r="AF221" s="21">
        <f>IF(Z221="","",Z221-N221)</f>
        <v/>
      </c>
      <c r="AG221" s="21">
        <f>IF(AA221="","",AA221-O221)</f>
        <v/>
      </c>
      <c r="AH221" s="21">
        <f>IF(AB221="","",AB221-P221)</f>
        <v/>
      </c>
      <c r="AI221" s="18">
        <f>IF(COUNTA(W221:AB221)=0,"未入力",IF(COUNTA(W221:AB221)&lt;6,"一部入力",IF(COUNTIF(AC221:AH221,0)=6,"一致","差分あり")))</f>
        <v/>
      </c>
      <c r="AJ2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1" s="19" t="inlineStr"/>
      <c r="AL221" s="18" t="inlineStr">
        <is>
          <t>2026-06-29</t>
        </is>
      </c>
    </row>
    <row r="222" ht="22" customHeight="1">
      <c r="A222" s="17" t="inlineStr">
        <is>
          <t>1003108-LB4</t>
        </is>
      </c>
      <c r="B222" s="18" t="n">
        <v>1003108</v>
      </c>
      <c r="C222" s="17" t="inlineStr">
        <is>
          <t>BIYamawaki08</t>
        </is>
      </c>
      <c r="D222" s="17" t="inlineStr">
        <is>
          <t>BIYamawaki</t>
        </is>
      </c>
      <c r="E222" s="17" t="inlineStr">
        <is>
          <t>山脇・ボン・イヴァール</t>
        </is>
      </c>
      <c r="F222" s="19" t="inlineStr">
        <is>
          <t>誇り高き魔王の凱旋</t>
        </is>
      </c>
      <c r="G222" s="18" t="inlineStr">
        <is>
          <t>SSR</t>
        </is>
      </c>
      <c r="H222" s="17" t="inlineStr">
        <is>
          <t>Attacker</t>
        </is>
      </c>
      <c r="I222" s="18" t="n">
        <v>4</v>
      </c>
      <c r="J222" s="18" t="n">
        <v>4</v>
      </c>
      <c r="K222" s="18" t="n">
        <v>545</v>
      </c>
      <c r="L222" s="18" t="n">
        <v>450</v>
      </c>
      <c r="M222" s="18" t="n">
        <v>467</v>
      </c>
      <c r="N222" s="18" t="n">
        <v>486</v>
      </c>
      <c r="O222" s="18" t="n">
        <v>488</v>
      </c>
      <c r="P222" s="18" t="n">
        <v>516</v>
      </c>
      <c r="Q222" s="18" t="n">
        <v>55</v>
      </c>
      <c r="R222" s="18" t="n">
        <v>45</v>
      </c>
      <c r="S222" s="18" t="n">
        <v>47</v>
      </c>
      <c r="T222" s="18" t="n">
        <v>49</v>
      </c>
      <c r="U222" s="18" t="n">
        <v>49</v>
      </c>
      <c r="V222" s="18" t="n">
        <v>52</v>
      </c>
      <c r="W222" s="20" t="n"/>
      <c r="X222" s="20" t="n"/>
      <c r="Y222" s="20" t="n"/>
      <c r="Z222" s="20" t="n"/>
      <c r="AA222" s="20" t="n"/>
      <c r="AB222" s="20" t="n"/>
      <c r="AC222" s="21">
        <f>IF(W222="","",W222-K222)</f>
        <v/>
      </c>
      <c r="AD222" s="21">
        <f>IF(X222="","",X222-L222)</f>
        <v/>
      </c>
      <c r="AE222" s="21">
        <f>IF(Y222="","",Y222-M222)</f>
        <v/>
      </c>
      <c r="AF222" s="21">
        <f>IF(Z222="","",Z222-N222)</f>
        <v/>
      </c>
      <c r="AG222" s="21">
        <f>IF(AA222="","",AA222-O222)</f>
        <v/>
      </c>
      <c r="AH222" s="21">
        <f>IF(AB222="","",AB222-P222)</f>
        <v/>
      </c>
      <c r="AI222" s="18">
        <f>IF(COUNTA(W222:AB222)=0,"未入力",IF(COUNTA(W222:AB222)&lt;6,"一部入力",IF(COUNTIF(AC222:AH222,0)=6,"一致","差分あり")))</f>
        <v/>
      </c>
      <c r="AJ2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2" s="19" t="inlineStr"/>
      <c r="AL222" s="18" t="inlineStr">
        <is>
          <t>2026-06-29</t>
        </is>
      </c>
    </row>
    <row r="223" ht="22" customHeight="1">
      <c r="A223" s="17" t="inlineStr">
        <is>
          <t>1003109-LB0</t>
        </is>
      </c>
      <c r="B223" s="18" t="n">
        <v>1003109</v>
      </c>
      <c r="C223" s="17" t="inlineStr">
        <is>
          <t>BIYamawaki09</t>
        </is>
      </c>
      <c r="D223" s="17" t="inlineStr">
        <is>
          <t>BIYamawaki</t>
        </is>
      </c>
      <c r="E223" s="17" t="inlineStr">
        <is>
          <t>山脇・ボン・イヴァール</t>
        </is>
      </c>
      <c r="F223" s="19" t="inlineStr">
        <is>
          <t>孤高のロンリネス</t>
        </is>
      </c>
      <c r="G223" s="18" t="inlineStr">
        <is>
          <t>SS</t>
        </is>
      </c>
      <c r="H223" s="17" t="inlineStr">
        <is>
          <t>Buffer</t>
        </is>
      </c>
      <c r="I223" s="18" t="n">
        <v>0</v>
      </c>
      <c r="J223" s="18" t="n">
        <v>4</v>
      </c>
      <c r="K223" s="18" t="n">
        <v>380</v>
      </c>
      <c r="L223" s="18" t="n">
        <v>432</v>
      </c>
      <c r="M223" s="18" t="n">
        <v>394</v>
      </c>
      <c r="N223" s="18" t="n">
        <v>386</v>
      </c>
      <c r="O223" s="18" t="n">
        <v>413</v>
      </c>
      <c r="P223" s="18" t="n">
        <v>412</v>
      </c>
      <c r="Q223" s="18" t="n">
        <v>38</v>
      </c>
      <c r="R223" s="18" t="n">
        <v>44</v>
      </c>
      <c r="S223" s="18" t="n">
        <v>40</v>
      </c>
      <c r="T223" s="18" t="n">
        <v>39</v>
      </c>
      <c r="U223" s="18" t="n">
        <v>42</v>
      </c>
      <c r="V223" s="18" t="n">
        <v>42</v>
      </c>
      <c r="W223" s="20" t="n"/>
      <c r="X223" s="20" t="n"/>
      <c r="Y223" s="20" t="n"/>
      <c r="Z223" s="20" t="n"/>
      <c r="AA223" s="20" t="n"/>
      <c r="AB223" s="20" t="n"/>
      <c r="AC223" s="21">
        <f>IF(W223="","",W223-K223)</f>
        <v/>
      </c>
      <c r="AD223" s="21">
        <f>IF(X223="","",X223-L223)</f>
        <v/>
      </c>
      <c r="AE223" s="21">
        <f>IF(Y223="","",Y223-M223)</f>
        <v/>
      </c>
      <c r="AF223" s="21">
        <f>IF(Z223="","",Z223-N223)</f>
        <v/>
      </c>
      <c r="AG223" s="21">
        <f>IF(AA223="","",AA223-O223)</f>
        <v/>
      </c>
      <c r="AH223" s="21">
        <f>IF(AB223="","",AB223-P223)</f>
        <v/>
      </c>
      <c r="AI223" s="18">
        <f>IF(COUNTA(W223:AB223)=0,"未入力",IF(COUNTA(W223:AB223)&lt;6,"一部入力",IF(COUNTIF(AC223:AH223,0)=6,"一致","差分あり")))</f>
        <v/>
      </c>
      <c r="AJ2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3" s="19" t="inlineStr"/>
      <c r="AL223" s="18" t="inlineStr">
        <is>
          <t>2026-06-29</t>
        </is>
      </c>
    </row>
    <row r="224" ht="22" customHeight="1">
      <c r="A224" s="17" t="inlineStr">
        <is>
          <t>1003109-LB4</t>
        </is>
      </c>
      <c r="B224" s="18" t="n">
        <v>1003109</v>
      </c>
      <c r="C224" s="17" t="inlineStr">
        <is>
          <t>BIYamawaki09</t>
        </is>
      </c>
      <c r="D224" s="17" t="inlineStr">
        <is>
          <t>BIYamawaki</t>
        </is>
      </c>
      <c r="E224" s="17" t="inlineStr">
        <is>
          <t>山脇・ボン・イヴァール</t>
        </is>
      </c>
      <c r="F224" s="19" t="inlineStr">
        <is>
          <t>孤高のロンリネス</t>
        </is>
      </c>
      <c r="G224" s="18" t="inlineStr">
        <is>
          <t>SS</t>
        </is>
      </c>
      <c r="H224" s="17" t="inlineStr">
        <is>
          <t>Buffer</t>
        </is>
      </c>
      <c r="I224" s="18" t="n">
        <v>4</v>
      </c>
      <c r="J224" s="18" t="n">
        <v>4</v>
      </c>
      <c r="K224" s="18" t="n">
        <v>472</v>
      </c>
      <c r="L224" s="18" t="n">
        <v>519</v>
      </c>
      <c r="M224" s="18" t="n">
        <v>480</v>
      </c>
      <c r="N224" s="18" t="n">
        <v>473</v>
      </c>
      <c r="O224" s="18" t="n">
        <v>501</v>
      </c>
      <c r="P224" s="18" t="n">
        <v>503</v>
      </c>
      <c r="Q224" s="18" t="n">
        <v>48</v>
      </c>
      <c r="R224" s="18" t="n">
        <v>52</v>
      </c>
      <c r="S224" s="18" t="n">
        <v>48</v>
      </c>
      <c r="T224" s="18" t="n">
        <v>48</v>
      </c>
      <c r="U224" s="18" t="n">
        <v>51</v>
      </c>
      <c r="V224" s="18" t="n">
        <v>51</v>
      </c>
      <c r="W224" s="20" t="n"/>
      <c r="X224" s="20" t="n"/>
      <c r="Y224" s="20" t="n"/>
      <c r="Z224" s="20" t="n"/>
      <c r="AA224" s="20" t="n"/>
      <c r="AB224" s="20" t="n"/>
      <c r="AC224" s="21">
        <f>IF(W224="","",W224-K224)</f>
        <v/>
      </c>
      <c r="AD224" s="21">
        <f>IF(X224="","",X224-L224)</f>
        <v/>
      </c>
      <c r="AE224" s="21">
        <f>IF(Y224="","",Y224-M224)</f>
        <v/>
      </c>
      <c r="AF224" s="21">
        <f>IF(Z224="","",Z224-N224)</f>
        <v/>
      </c>
      <c r="AG224" s="21">
        <f>IF(AA224="","",AA224-O224)</f>
        <v/>
      </c>
      <c r="AH224" s="21">
        <f>IF(AB224="","",AB224-P224)</f>
        <v/>
      </c>
      <c r="AI224" s="18">
        <f>IF(COUNTA(W224:AB224)=0,"未入力",IF(COUNTA(W224:AB224)&lt;6,"一部入力",IF(COUNTIF(AC224:AH224,0)=6,"一致","差分あり")))</f>
        <v/>
      </c>
      <c r="AJ2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4" s="19" t="inlineStr"/>
      <c r="AL224" s="18" t="inlineStr">
        <is>
          <t>2026-06-29</t>
        </is>
      </c>
    </row>
    <row r="225" ht="22" customHeight="1">
      <c r="A225" s="17" t="inlineStr">
        <is>
          <t>1003201-LB0</t>
        </is>
      </c>
      <c r="B225" s="18" t="n">
        <v>1003201</v>
      </c>
      <c r="C225" s="17" t="inlineStr">
        <is>
          <t>SSakuraba01</t>
        </is>
      </c>
      <c r="D225" s="17" t="inlineStr">
        <is>
          <t>SSakuraba</t>
        </is>
      </c>
      <c r="E225" s="17" t="inlineStr">
        <is>
          <t>桜庭 星羅</t>
        </is>
      </c>
      <c r="F225" s="19" t="inlineStr">
        <is>
          <t>クリスタルの導き</t>
        </is>
      </c>
      <c r="G225" s="18" t="inlineStr">
        <is>
          <t>A</t>
        </is>
      </c>
      <c r="H225" s="17" t="inlineStr">
        <is>
          <t>Healer</t>
        </is>
      </c>
      <c r="I225" s="18" t="n">
        <v>0</v>
      </c>
      <c r="J225" s="18" t="n">
        <v>20</v>
      </c>
      <c r="K225" s="18" t="n">
        <v>289</v>
      </c>
      <c r="L225" s="18" t="n">
        <v>244</v>
      </c>
      <c r="M225" s="18" t="n">
        <v>253</v>
      </c>
      <c r="N225" s="18" t="n">
        <v>280</v>
      </c>
      <c r="O225" s="18" t="n">
        <v>279</v>
      </c>
      <c r="P225" s="18" t="n">
        <v>291</v>
      </c>
      <c r="Q225" s="18" t="n">
        <v>29</v>
      </c>
      <c r="R225" s="18" t="n">
        <v>25</v>
      </c>
      <c r="S225" s="18" t="n">
        <v>26</v>
      </c>
      <c r="T225" s="18" t="n">
        <v>28</v>
      </c>
      <c r="U225" s="18" t="n">
        <v>28</v>
      </c>
      <c r="V225" s="18" t="n">
        <v>30</v>
      </c>
      <c r="W225" s="20" t="n"/>
      <c r="X225" s="20" t="n"/>
      <c r="Y225" s="20" t="n"/>
      <c r="Z225" s="20" t="n"/>
      <c r="AA225" s="20" t="n"/>
      <c r="AB225" s="20" t="n"/>
      <c r="AC225" s="21">
        <f>IF(W225="","",W225-K225)</f>
        <v/>
      </c>
      <c r="AD225" s="21">
        <f>IF(X225="","",X225-L225)</f>
        <v/>
      </c>
      <c r="AE225" s="21">
        <f>IF(Y225="","",Y225-M225)</f>
        <v/>
      </c>
      <c r="AF225" s="21">
        <f>IF(Z225="","",Z225-N225)</f>
        <v/>
      </c>
      <c r="AG225" s="21">
        <f>IF(AA225="","",AA225-O225)</f>
        <v/>
      </c>
      <c r="AH225" s="21">
        <f>IF(AB225="","",AB225-P225)</f>
        <v/>
      </c>
      <c r="AI225" s="18">
        <f>IF(COUNTA(W225:AB225)=0,"未入力",IF(COUNTA(W225:AB225)&lt;6,"一部入力",IF(COUNTIF(AC225:AH225,0)=6,"一致","差分あり")))</f>
        <v/>
      </c>
      <c r="AJ2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5" s="19" t="inlineStr"/>
      <c r="AL225" s="18" t="inlineStr">
        <is>
          <t>2026-06-29</t>
        </is>
      </c>
    </row>
    <row r="226" ht="22" customHeight="1">
      <c r="A226" s="17" t="inlineStr">
        <is>
          <t>1003201-LB20</t>
        </is>
      </c>
      <c r="B226" s="18" t="n">
        <v>1003201</v>
      </c>
      <c r="C226" s="17" t="inlineStr">
        <is>
          <t>SSakuraba01</t>
        </is>
      </c>
      <c r="D226" s="17" t="inlineStr">
        <is>
          <t>SSakuraba</t>
        </is>
      </c>
      <c r="E226" s="17" t="inlineStr">
        <is>
          <t>桜庭 星羅</t>
        </is>
      </c>
      <c r="F226" s="19" t="inlineStr">
        <is>
          <t>クリスタルの導き</t>
        </is>
      </c>
      <c r="G226" s="18" t="inlineStr">
        <is>
          <t>A</t>
        </is>
      </c>
      <c r="H226" s="17" t="inlineStr">
        <is>
          <t>Healer</t>
        </is>
      </c>
      <c r="I226" s="18" t="n">
        <v>20</v>
      </c>
      <c r="J226" s="18" t="n">
        <v>20</v>
      </c>
      <c r="K226" s="18" t="n">
        <v>334</v>
      </c>
      <c r="L226" s="18" t="n">
        <v>288</v>
      </c>
      <c r="M226" s="18" t="n">
        <v>298</v>
      </c>
      <c r="N226" s="18" t="n">
        <v>324</v>
      </c>
      <c r="O226" s="18" t="n">
        <v>323</v>
      </c>
      <c r="P226" s="18" t="n">
        <v>335</v>
      </c>
      <c r="Q226" s="18" t="n">
        <v>34</v>
      </c>
      <c r="R226" s="18" t="n">
        <v>29</v>
      </c>
      <c r="S226" s="18" t="n">
        <v>30</v>
      </c>
      <c r="T226" s="18" t="n">
        <v>33</v>
      </c>
      <c r="U226" s="18" t="n">
        <v>33</v>
      </c>
      <c r="V226" s="18" t="n">
        <v>34</v>
      </c>
      <c r="W226" s="20" t="n"/>
      <c r="X226" s="20" t="n"/>
      <c r="Y226" s="20" t="n"/>
      <c r="Z226" s="20" t="n"/>
      <c r="AA226" s="20" t="n"/>
      <c r="AB226" s="20" t="n"/>
      <c r="AC226" s="21">
        <f>IF(W226="","",W226-K226)</f>
        <v/>
      </c>
      <c r="AD226" s="21">
        <f>IF(X226="","",X226-L226)</f>
        <v/>
      </c>
      <c r="AE226" s="21">
        <f>IF(Y226="","",Y226-M226)</f>
        <v/>
      </c>
      <c r="AF226" s="21">
        <f>IF(Z226="","",Z226-N226)</f>
        <v/>
      </c>
      <c r="AG226" s="21">
        <f>IF(AA226="","",AA226-O226)</f>
        <v/>
      </c>
      <c r="AH226" s="21">
        <f>IF(AB226="","",AB226-P226)</f>
        <v/>
      </c>
      <c r="AI226" s="18">
        <f>IF(COUNTA(W226:AB226)=0,"未入力",IF(COUNTA(W226:AB226)&lt;6,"一部入力",IF(COUNTIF(AC226:AH226,0)=6,"一致","差分あり")))</f>
        <v/>
      </c>
      <c r="AJ2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6" s="19" t="inlineStr"/>
      <c r="AL226" s="18" t="inlineStr">
        <is>
          <t>2026-06-29</t>
        </is>
      </c>
    </row>
    <row r="227" ht="22" customHeight="1">
      <c r="A227" s="17" t="inlineStr">
        <is>
          <t>1003202-LB0</t>
        </is>
      </c>
      <c r="B227" s="18" t="n">
        <v>1003202</v>
      </c>
      <c r="C227" s="17" t="inlineStr">
        <is>
          <t>SSakuraba02</t>
        </is>
      </c>
      <c r="D227" s="17" t="inlineStr">
        <is>
          <t>SSakuraba</t>
        </is>
      </c>
      <c r="E227" s="17" t="inlineStr">
        <is>
          <t>桜庭 星羅</t>
        </is>
      </c>
      <c r="F227" s="19" t="inlineStr">
        <is>
          <t>雨模様、心そうそう</t>
        </is>
      </c>
      <c r="G227" s="18" t="inlineStr">
        <is>
          <t>S</t>
        </is>
      </c>
      <c r="H227" s="17" t="inlineStr">
        <is>
          <t>Defender</t>
        </is>
      </c>
      <c r="I227" s="18" t="n">
        <v>0</v>
      </c>
      <c r="J227" s="18" t="n">
        <v>10</v>
      </c>
      <c r="K227" s="18" t="n">
        <v>306</v>
      </c>
      <c r="L227" s="18" t="n">
        <v>344</v>
      </c>
      <c r="M227" s="18" t="n">
        <v>325</v>
      </c>
      <c r="N227" s="18" t="n">
        <v>307</v>
      </c>
      <c r="O227" s="18" t="n">
        <v>350</v>
      </c>
      <c r="P227" s="18" t="n">
        <v>318</v>
      </c>
      <c r="Q227" s="18" t="n">
        <v>31</v>
      </c>
      <c r="R227" s="18" t="n">
        <v>35</v>
      </c>
      <c r="S227" s="18" t="n">
        <v>33</v>
      </c>
      <c r="T227" s="18" t="n">
        <v>31</v>
      </c>
      <c r="U227" s="18" t="n">
        <v>35</v>
      </c>
      <c r="V227" s="18" t="n">
        <v>32</v>
      </c>
      <c r="W227" s="20" t="n"/>
      <c r="X227" s="20" t="n"/>
      <c r="Y227" s="20" t="n"/>
      <c r="Z227" s="20" t="n"/>
      <c r="AA227" s="20" t="n"/>
      <c r="AB227" s="20" t="n"/>
      <c r="AC227" s="21">
        <f>IF(W227="","",W227-K227)</f>
        <v/>
      </c>
      <c r="AD227" s="21">
        <f>IF(X227="","",X227-L227)</f>
        <v/>
      </c>
      <c r="AE227" s="21">
        <f>IF(Y227="","",Y227-M227)</f>
        <v/>
      </c>
      <c r="AF227" s="21">
        <f>IF(Z227="","",Z227-N227)</f>
        <v/>
      </c>
      <c r="AG227" s="21">
        <f>IF(AA227="","",AA227-O227)</f>
        <v/>
      </c>
      <c r="AH227" s="21">
        <f>IF(AB227="","",AB227-P227)</f>
        <v/>
      </c>
      <c r="AI227" s="18">
        <f>IF(COUNTA(W227:AB227)=0,"未入力",IF(COUNTA(W227:AB227)&lt;6,"一部入力",IF(COUNTIF(AC227:AH227,0)=6,"一致","差分あり")))</f>
        <v/>
      </c>
      <c r="AJ2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7" s="19" t="inlineStr"/>
      <c r="AL227" s="18" t="inlineStr">
        <is>
          <t>2026-06-29</t>
        </is>
      </c>
    </row>
    <row r="228" ht="22" customHeight="1">
      <c r="A228" s="17" t="inlineStr">
        <is>
          <t>1003202-LB10</t>
        </is>
      </c>
      <c r="B228" s="18" t="n">
        <v>1003202</v>
      </c>
      <c r="C228" s="17" t="inlineStr">
        <is>
          <t>SSakuraba02</t>
        </is>
      </c>
      <c r="D228" s="17" t="inlineStr">
        <is>
          <t>SSakuraba</t>
        </is>
      </c>
      <c r="E228" s="17" t="inlineStr">
        <is>
          <t>桜庭 星羅</t>
        </is>
      </c>
      <c r="F228" s="19" t="inlineStr">
        <is>
          <t>雨模様、心そうそう</t>
        </is>
      </c>
      <c r="G228" s="18" t="inlineStr">
        <is>
          <t>S</t>
        </is>
      </c>
      <c r="H228" s="17" t="inlineStr">
        <is>
          <t>Defender</t>
        </is>
      </c>
      <c r="I228" s="18" t="n">
        <v>10</v>
      </c>
      <c r="J228" s="18" t="n">
        <v>10</v>
      </c>
      <c r="K228" s="18" t="n">
        <v>372</v>
      </c>
      <c r="L228" s="18" t="n">
        <v>412</v>
      </c>
      <c r="M228" s="18" t="n">
        <v>393</v>
      </c>
      <c r="N228" s="18" t="n">
        <v>373</v>
      </c>
      <c r="O228" s="18" t="n">
        <v>416</v>
      </c>
      <c r="P228" s="18" t="n">
        <v>384</v>
      </c>
      <c r="Q228" s="18" t="n">
        <v>38</v>
      </c>
      <c r="R228" s="18" t="n">
        <v>42</v>
      </c>
      <c r="S228" s="18" t="n">
        <v>40</v>
      </c>
      <c r="T228" s="18" t="n">
        <v>38</v>
      </c>
      <c r="U228" s="18" t="n">
        <v>42</v>
      </c>
      <c r="V228" s="18" t="n">
        <v>39</v>
      </c>
      <c r="W228" s="20" t="n"/>
      <c r="X228" s="20" t="n"/>
      <c r="Y228" s="20" t="n"/>
      <c r="Z228" s="20" t="n"/>
      <c r="AA228" s="20" t="n"/>
      <c r="AB228" s="20" t="n"/>
      <c r="AC228" s="21">
        <f>IF(W228="","",W228-K228)</f>
        <v/>
      </c>
      <c r="AD228" s="21">
        <f>IF(X228="","",X228-L228)</f>
        <v/>
      </c>
      <c r="AE228" s="21">
        <f>IF(Y228="","",Y228-M228)</f>
        <v/>
      </c>
      <c r="AF228" s="21">
        <f>IF(Z228="","",Z228-N228)</f>
        <v/>
      </c>
      <c r="AG228" s="21">
        <f>IF(AA228="","",AA228-O228)</f>
        <v/>
      </c>
      <c r="AH228" s="21">
        <f>IF(AB228="","",AB228-P228)</f>
        <v/>
      </c>
      <c r="AI228" s="18">
        <f>IF(COUNTA(W228:AB228)=0,"未入力",IF(COUNTA(W228:AB228)&lt;6,"一部入力",IF(COUNTIF(AC228:AH228,0)=6,"一致","差分あり")))</f>
        <v/>
      </c>
      <c r="AJ2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8" s="19" t="inlineStr"/>
      <c r="AL228" s="18" t="inlineStr">
        <is>
          <t>2026-06-29</t>
        </is>
      </c>
    </row>
    <row r="229" ht="22" customHeight="1">
      <c r="A229" s="17" t="inlineStr">
        <is>
          <t>1003203-LB0</t>
        </is>
      </c>
      <c r="B229" s="18" t="n">
        <v>1003203</v>
      </c>
      <c r="C229" s="17" t="inlineStr">
        <is>
          <t>SSakuraba03</t>
        </is>
      </c>
      <c r="D229" s="17" t="inlineStr">
        <is>
          <t>SSakuraba</t>
        </is>
      </c>
      <c r="E229" s="17" t="inlineStr">
        <is>
          <t>桜庭 星羅</t>
        </is>
      </c>
      <c r="F229" s="19" t="inlineStr">
        <is>
          <t>星の海、たゆたうフォーチュンテラー</t>
        </is>
      </c>
      <c r="G229" s="18" t="inlineStr">
        <is>
          <t>SS</t>
        </is>
      </c>
      <c r="H229" s="17" t="inlineStr">
        <is>
          <t>Buffer</t>
        </is>
      </c>
      <c r="I229" s="18" t="n">
        <v>0</v>
      </c>
      <c r="J229" s="18" t="n">
        <v>4</v>
      </c>
      <c r="K229" s="18" t="n">
        <v>377</v>
      </c>
      <c r="L229" s="18" t="n">
        <v>374</v>
      </c>
      <c r="M229" s="18" t="n">
        <v>422</v>
      </c>
      <c r="N229" s="18" t="n">
        <v>391</v>
      </c>
      <c r="O229" s="18" t="n">
        <v>364</v>
      </c>
      <c r="P229" s="18" t="n">
        <v>343</v>
      </c>
      <c r="Q229" s="18" t="n">
        <v>38</v>
      </c>
      <c r="R229" s="18" t="n">
        <v>38</v>
      </c>
      <c r="S229" s="18" t="n">
        <v>43</v>
      </c>
      <c r="T229" s="18" t="n">
        <v>40</v>
      </c>
      <c r="U229" s="18" t="n">
        <v>37</v>
      </c>
      <c r="V229" s="18" t="n">
        <v>35</v>
      </c>
      <c r="W229" s="20" t="n"/>
      <c r="X229" s="20" t="n"/>
      <c r="Y229" s="20" t="n"/>
      <c r="Z229" s="20" t="n"/>
      <c r="AA229" s="20" t="n"/>
      <c r="AB229" s="20" t="n"/>
      <c r="AC229" s="21">
        <f>IF(W229="","",W229-K229)</f>
        <v/>
      </c>
      <c r="AD229" s="21">
        <f>IF(X229="","",X229-L229)</f>
        <v/>
      </c>
      <c r="AE229" s="21">
        <f>IF(Y229="","",Y229-M229)</f>
        <v/>
      </c>
      <c r="AF229" s="21">
        <f>IF(Z229="","",Z229-N229)</f>
        <v/>
      </c>
      <c r="AG229" s="21">
        <f>IF(AA229="","",AA229-O229)</f>
        <v/>
      </c>
      <c r="AH229" s="21">
        <f>IF(AB229="","",AB229-P229)</f>
        <v/>
      </c>
      <c r="AI229" s="18">
        <f>IF(COUNTA(W229:AB229)=0,"未入力",IF(COUNTA(W229:AB229)&lt;6,"一部入力",IF(COUNTIF(AC229:AH229,0)=6,"一致","差分あり")))</f>
        <v/>
      </c>
      <c r="AJ2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29" s="19" t="inlineStr"/>
      <c r="AL229" s="18" t="inlineStr">
        <is>
          <t>2026-06-29</t>
        </is>
      </c>
    </row>
    <row r="230" ht="22" customHeight="1">
      <c r="A230" s="17" t="inlineStr">
        <is>
          <t>1003203-LB4</t>
        </is>
      </c>
      <c r="B230" s="18" t="n">
        <v>1003203</v>
      </c>
      <c r="C230" s="17" t="inlineStr">
        <is>
          <t>SSakuraba03</t>
        </is>
      </c>
      <c r="D230" s="17" t="inlineStr">
        <is>
          <t>SSakuraba</t>
        </is>
      </c>
      <c r="E230" s="17" t="inlineStr">
        <is>
          <t>桜庭 星羅</t>
        </is>
      </c>
      <c r="F230" s="19" t="inlineStr">
        <is>
          <t>星の海、たゆたうフォーチュンテラー</t>
        </is>
      </c>
      <c r="G230" s="18" t="inlineStr">
        <is>
          <t>SS</t>
        </is>
      </c>
      <c r="H230" s="17" t="inlineStr">
        <is>
          <t>Buffer</t>
        </is>
      </c>
      <c r="I230" s="18" t="n">
        <v>4</v>
      </c>
      <c r="J230" s="18" t="n">
        <v>4</v>
      </c>
      <c r="K230" s="18" t="n">
        <v>465</v>
      </c>
      <c r="L230" s="18" t="n">
        <v>461</v>
      </c>
      <c r="M230" s="18" t="n">
        <v>512</v>
      </c>
      <c r="N230" s="18" t="n">
        <v>479</v>
      </c>
      <c r="O230" s="18" t="n">
        <v>452</v>
      </c>
      <c r="P230" s="18" t="n">
        <v>431</v>
      </c>
      <c r="Q230" s="18" t="n">
        <v>47</v>
      </c>
      <c r="R230" s="18" t="n">
        <v>47</v>
      </c>
      <c r="S230" s="18" t="n">
        <v>52</v>
      </c>
      <c r="T230" s="18" t="n">
        <v>48</v>
      </c>
      <c r="U230" s="18" t="n">
        <v>46</v>
      </c>
      <c r="V230" s="18" t="n">
        <v>44</v>
      </c>
      <c r="W230" s="20" t="n"/>
      <c r="X230" s="20" t="n"/>
      <c r="Y230" s="20" t="n"/>
      <c r="Z230" s="20" t="n"/>
      <c r="AA230" s="20" t="n"/>
      <c r="AB230" s="20" t="n"/>
      <c r="AC230" s="21">
        <f>IF(W230="","",W230-K230)</f>
        <v/>
      </c>
      <c r="AD230" s="21">
        <f>IF(X230="","",X230-L230)</f>
        <v/>
      </c>
      <c r="AE230" s="21">
        <f>IF(Y230="","",Y230-M230)</f>
        <v/>
      </c>
      <c r="AF230" s="21">
        <f>IF(Z230="","",Z230-N230)</f>
        <v/>
      </c>
      <c r="AG230" s="21">
        <f>IF(AA230="","",AA230-O230)</f>
        <v/>
      </c>
      <c r="AH230" s="21">
        <f>IF(AB230="","",AB230-P230)</f>
        <v/>
      </c>
      <c r="AI230" s="18">
        <f>IF(COUNTA(W230:AB230)=0,"未入力",IF(COUNTA(W230:AB230)&lt;6,"一部入力",IF(COUNTIF(AC230:AH230,0)=6,"一致","差分あり")))</f>
        <v/>
      </c>
      <c r="AJ2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0" s="19" t="inlineStr"/>
      <c r="AL230" s="18" t="inlineStr">
        <is>
          <t>2026-06-29</t>
        </is>
      </c>
    </row>
    <row r="231" ht="22" customHeight="1">
      <c r="A231" s="17" t="inlineStr">
        <is>
          <t>1003204-LB0</t>
        </is>
      </c>
      <c r="B231" s="18" t="n">
        <v>1003204</v>
      </c>
      <c r="C231" s="17" t="inlineStr">
        <is>
          <t>SSakuraba04</t>
        </is>
      </c>
      <c r="D231" s="17" t="inlineStr">
        <is>
          <t>SSakuraba</t>
        </is>
      </c>
      <c r="E231" s="17" t="inlineStr">
        <is>
          <t>桜庭 星羅</t>
        </is>
      </c>
      <c r="F231" s="19" t="inlineStr">
        <is>
          <t>対決！！エア・ステージ</t>
        </is>
      </c>
      <c r="G231" s="18" t="inlineStr">
        <is>
          <t>SS</t>
        </is>
      </c>
      <c r="H231" s="17" t="inlineStr">
        <is>
          <t>Defender</t>
        </is>
      </c>
      <c r="I231" s="18" t="n">
        <v>0</v>
      </c>
      <c r="J231" s="18" t="n">
        <v>4</v>
      </c>
      <c r="K231" s="18" t="n">
        <v>399</v>
      </c>
      <c r="L231" s="18" t="n">
        <v>396</v>
      </c>
      <c r="M231" s="18" t="n">
        <v>444</v>
      </c>
      <c r="N231" s="18" t="n">
        <v>413</v>
      </c>
      <c r="O231" s="18" t="n">
        <v>386</v>
      </c>
      <c r="P231" s="18" t="n">
        <v>365</v>
      </c>
      <c r="Q231" s="18" t="n">
        <v>40</v>
      </c>
      <c r="R231" s="18" t="n">
        <v>40</v>
      </c>
      <c r="S231" s="18" t="n">
        <v>45</v>
      </c>
      <c r="T231" s="18" t="n">
        <v>42</v>
      </c>
      <c r="U231" s="18" t="n">
        <v>39</v>
      </c>
      <c r="V231" s="18" t="n">
        <v>37</v>
      </c>
      <c r="W231" s="20" t="n"/>
      <c r="X231" s="20" t="n"/>
      <c r="Y231" s="20" t="n"/>
      <c r="Z231" s="20" t="n"/>
      <c r="AA231" s="20" t="n"/>
      <c r="AB231" s="20" t="n"/>
      <c r="AC231" s="21">
        <f>IF(W231="","",W231-K231)</f>
        <v/>
      </c>
      <c r="AD231" s="21">
        <f>IF(X231="","",X231-L231)</f>
        <v/>
      </c>
      <c r="AE231" s="21">
        <f>IF(Y231="","",Y231-M231)</f>
        <v/>
      </c>
      <c r="AF231" s="21">
        <f>IF(Z231="","",Z231-N231)</f>
        <v/>
      </c>
      <c r="AG231" s="21">
        <f>IF(AA231="","",AA231-O231)</f>
        <v/>
      </c>
      <c r="AH231" s="21">
        <f>IF(AB231="","",AB231-P231)</f>
        <v/>
      </c>
      <c r="AI231" s="18">
        <f>IF(COUNTA(W231:AB231)=0,"未入力",IF(COUNTA(W231:AB231)&lt;6,"一部入力",IF(COUNTIF(AC231:AH231,0)=6,"一致","差分あり")))</f>
        <v/>
      </c>
      <c r="AJ2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1" s="19" t="inlineStr"/>
      <c r="AL231" s="18" t="inlineStr">
        <is>
          <t>2026-06-29</t>
        </is>
      </c>
    </row>
    <row r="232" ht="22" customHeight="1">
      <c r="A232" s="17" t="inlineStr">
        <is>
          <t>1003204-LB4</t>
        </is>
      </c>
      <c r="B232" s="18" t="n">
        <v>1003204</v>
      </c>
      <c r="C232" s="17" t="inlineStr">
        <is>
          <t>SSakuraba04</t>
        </is>
      </c>
      <c r="D232" s="17" t="inlineStr">
        <is>
          <t>SSakuraba</t>
        </is>
      </c>
      <c r="E232" s="17" t="inlineStr">
        <is>
          <t>桜庭 星羅</t>
        </is>
      </c>
      <c r="F232" s="19" t="inlineStr">
        <is>
          <t>対決！！エア・ステージ</t>
        </is>
      </c>
      <c r="G232" s="18" t="inlineStr">
        <is>
          <t>SS</t>
        </is>
      </c>
      <c r="H232" s="17" t="inlineStr">
        <is>
          <t>Defender</t>
        </is>
      </c>
      <c r="I232" s="18" t="n">
        <v>4</v>
      </c>
      <c r="J232" s="18" t="n">
        <v>4</v>
      </c>
      <c r="K232" s="18" t="n">
        <v>486</v>
      </c>
      <c r="L232" s="18" t="n">
        <v>482</v>
      </c>
      <c r="M232" s="18" t="n">
        <v>534</v>
      </c>
      <c r="N232" s="18" t="n">
        <v>501</v>
      </c>
      <c r="O232" s="18" t="n">
        <v>473</v>
      </c>
      <c r="P232" s="18" t="n">
        <v>453</v>
      </c>
      <c r="Q232" s="18" t="n">
        <v>49</v>
      </c>
      <c r="R232" s="18" t="n">
        <v>49</v>
      </c>
      <c r="S232" s="18" t="n">
        <v>54</v>
      </c>
      <c r="T232" s="18" t="n">
        <v>51</v>
      </c>
      <c r="U232" s="18" t="n">
        <v>48</v>
      </c>
      <c r="V232" s="18" t="n">
        <v>46</v>
      </c>
      <c r="W232" s="20" t="n"/>
      <c r="X232" s="20" t="n"/>
      <c r="Y232" s="20" t="n"/>
      <c r="Z232" s="20" t="n"/>
      <c r="AA232" s="20" t="n"/>
      <c r="AB232" s="20" t="n"/>
      <c r="AC232" s="21">
        <f>IF(W232="","",W232-K232)</f>
        <v/>
      </c>
      <c r="AD232" s="21">
        <f>IF(X232="","",X232-L232)</f>
        <v/>
      </c>
      <c r="AE232" s="21">
        <f>IF(Y232="","",Y232-M232)</f>
        <v/>
      </c>
      <c r="AF232" s="21">
        <f>IF(Z232="","",Z232-N232)</f>
        <v/>
      </c>
      <c r="AG232" s="21">
        <f>IF(AA232="","",AA232-O232)</f>
        <v/>
      </c>
      <c r="AH232" s="21">
        <f>IF(AB232="","",AB232-P232)</f>
        <v/>
      </c>
      <c r="AI232" s="18">
        <f>IF(COUNTA(W232:AB232)=0,"未入力",IF(COUNTA(W232:AB232)&lt;6,"一部入力",IF(COUNTIF(AC232:AH232,0)=6,"一致","差分あり")))</f>
        <v/>
      </c>
      <c r="AJ2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2" s="19" t="inlineStr"/>
      <c r="AL232" s="18" t="inlineStr">
        <is>
          <t>2026-06-29</t>
        </is>
      </c>
    </row>
    <row r="233" ht="22" customHeight="1">
      <c r="A233" s="17" t="inlineStr">
        <is>
          <t>1003205-LB0</t>
        </is>
      </c>
      <c r="B233" s="18" t="n">
        <v>1003205</v>
      </c>
      <c r="C233" s="17" t="inlineStr">
        <is>
          <t>SSakuraba05</t>
        </is>
      </c>
      <c r="D233" s="17" t="inlineStr">
        <is>
          <t>SSakuraba</t>
        </is>
      </c>
      <c r="E233" s="17" t="inlineStr">
        <is>
          <t>桜庭 星羅</t>
        </is>
      </c>
      <c r="F233" s="19" t="inlineStr">
        <is>
          <t>今日のあなたの運勢は？</t>
        </is>
      </c>
      <c r="G233" s="18" t="inlineStr">
        <is>
          <t>S</t>
        </is>
      </c>
      <c r="H233" s="17" t="inlineStr">
        <is>
          <t>Defender</t>
        </is>
      </c>
      <c r="I233" s="18" t="n">
        <v>0</v>
      </c>
      <c r="J233" s="18" t="n">
        <v>10</v>
      </c>
      <c r="K233" s="18" t="n">
        <v>350</v>
      </c>
      <c r="L233" s="18" t="n">
        <v>304</v>
      </c>
      <c r="M233" s="18" t="n">
        <v>314</v>
      </c>
      <c r="N233" s="18" t="n">
        <v>318</v>
      </c>
      <c r="O233" s="18" t="n">
        <v>317</v>
      </c>
      <c r="P233" s="18" t="n">
        <v>351</v>
      </c>
      <c r="Q233" s="18" t="n">
        <v>35</v>
      </c>
      <c r="R233" s="18" t="n">
        <v>31</v>
      </c>
      <c r="S233" s="18" t="n">
        <v>32</v>
      </c>
      <c r="T233" s="18" t="n">
        <v>32</v>
      </c>
      <c r="U233" s="18" t="n">
        <v>32</v>
      </c>
      <c r="V233" s="18" t="n">
        <v>36</v>
      </c>
      <c r="W233" s="20" t="n"/>
      <c r="X233" s="20" t="n"/>
      <c r="Y233" s="20" t="n"/>
      <c r="Z233" s="20" t="n"/>
      <c r="AA233" s="20" t="n"/>
      <c r="AB233" s="20" t="n"/>
      <c r="AC233" s="21">
        <f>IF(W233="","",W233-K233)</f>
        <v/>
      </c>
      <c r="AD233" s="21">
        <f>IF(X233="","",X233-L233)</f>
        <v/>
      </c>
      <c r="AE233" s="21">
        <f>IF(Y233="","",Y233-M233)</f>
        <v/>
      </c>
      <c r="AF233" s="21">
        <f>IF(Z233="","",Z233-N233)</f>
        <v/>
      </c>
      <c r="AG233" s="21">
        <f>IF(AA233="","",AA233-O233)</f>
        <v/>
      </c>
      <c r="AH233" s="21">
        <f>IF(AB233="","",AB233-P233)</f>
        <v/>
      </c>
      <c r="AI233" s="18">
        <f>IF(COUNTA(W233:AB233)=0,"未入力",IF(COUNTA(W233:AB233)&lt;6,"一部入力",IF(COUNTIF(AC233:AH233,0)=6,"一致","差分あり")))</f>
        <v/>
      </c>
      <c r="AJ2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3" s="19" t="inlineStr"/>
      <c r="AL233" s="18" t="inlineStr">
        <is>
          <t>2026-06-29</t>
        </is>
      </c>
    </row>
    <row r="234" ht="22" customHeight="1">
      <c r="A234" s="17" t="inlineStr">
        <is>
          <t>1003205-LB10</t>
        </is>
      </c>
      <c r="B234" s="18" t="n">
        <v>1003205</v>
      </c>
      <c r="C234" s="17" t="inlineStr">
        <is>
          <t>SSakuraba05</t>
        </is>
      </c>
      <c r="D234" s="17" t="inlineStr">
        <is>
          <t>SSakuraba</t>
        </is>
      </c>
      <c r="E234" s="17" t="inlineStr">
        <is>
          <t>桜庭 星羅</t>
        </is>
      </c>
      <c r="F234" s="19" t="inlineStr">
        <is>
          <t>今日のあなたの運勢は？</t>
        </is>
      </c>
      <c r="G234" s="18" t="inlineStr">
        <is>
          <t>S</t>
        </is>
      </c>
      <c r="H234" s="17" t="inlineStr">
        <is>
          <t>Defender</t>
        </is>
      </c>
      <c r="I234" s="18" t="n">
        <v>10</v>
      </c>
      <c r="J234" s="18" t="n">
        <v>10</v>
      </c>
      <c r="K234" s="18" t="n">
        <v>416</v>
      </c>
      <c r="L234" s="18" t="n">
        <v>369</v>
      </c>
      <c r="M234" s="18" t="n">
        <v>381</v>
      </c>
      <c r="N234" s="18" t="n">
        <v>384</v>
      </c>
      <c r="O234" s="18" t="n">
        <v>383</v>
      </c>
      <c r="P234" s="18" t="n">
        <v>417</v>
      </c>
      <c r="Q234" s="18" t="n">
        <v>42</v>
      </c>
      <c r="R234" s="18" t="n">
        <v>37</v>
      </c>
      <c r="S234" s="18" t="n">
        <v>39</v>
      </c>
      <c r="T234" s="18" t="n">
        <v>39</v>
      </c>
      <c r="U234" s="18" t="n">
        <v>39</v>
      </c>
      <c r="V234" s="18" t="n">
        <v>42</v>
      </c>
      <c r="W234" s="20" t="n"/>
      <c r="X234" s="20" t="n"/>
      <c r="Y234" s="20" t="n"/>
      <c r="Z234" s="20" t="n"/>
      <c r="AA234" s="20" t="n"/>
      <c r="AB234" s="20" t="n"/>
      <c r="AC234" s="21">
        <f>IF(W234="","",W234-K234)</f>
        <v/>
      </c>
      <c r="AD234" s="21">
        <f>IF(X234="","",X234-L234)</f>
        <v/>
      </c>
      <c r="AE234" s="21">
        <f>IF(Y234="","",Y234-M234)</f>
        <v/>
      </c>
      <c r="AF234" s="21">
        <f>IF(Z234="","",Z234-N234)</f>
        <v/>
      </c>
      <c r="AG234" s="21">
        <f>IF(AA234="","",AA234-O234)</f>
        <v/>
      </c>
      <c r="AH234" s="21">
        <f>IF(AB234="","",AB234-P234)</f>
        <v/>
      </c>
      <c r="AI234" s="18">
        <f>IF(COUNTA(W234:AB234)=0,"未入力",IF(COUNTA(W234:AB234)&lt;6,"一部入力",IF(COUNTIF(AC234:AH234,0)=6,"一致","差分あり")))</f>
        <v/>
      </c>
      <c r="AJ2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4" s="19" t="inlineStr"/>
      <c r="AL234" s="18" t="inlineStr">
        <is>
          <t>2026-06-29</t>
        </is>
      </c>
    </row>
    <row r="235" ht="22" customHeight="1">
      <c r="A235" s="17" t="inlineStr">
        <is>
          <t>1003206-LB0</t>
        </is>
      </c>
      <c r="B235" s="18" t="n">
        <v>1003206</v>
      </c>
      <c r="C235" s="17" t="inlineStr">
        <is>
          <t>SSakuraba06</t>
        </is>
      </c>
      <c r="D235" s="17" t="inlineStr">
        <is>
          <t>SSakuraba</t>
        </is>
      </c>
      <c r="E235" s="17" t="inlineStr">
        <is>
          <t>桜庭 星羅</t>
        </is>
      </c>
      <c r="F235" s="19" t="inlineStr">
        <is>
          <t>Sanctuary Veil</t>
        </is>
      </c>
      <c r="G235" s="18" t="inlineStr">
        <is>
          <t>SS</t>
        </is>
      </c>
      <c r="H235" s="17" t="inlineStr">
        <is>
          <t>Defender</t>
        </is>
      </c>
      <c r="I235" s="18" t="n">
        <v>0</v>
      </c>
      <c r="J235" s="18" t="n">
        <v>4</v>
      </c>
      <c r="K235" s="18" t="n">
        <v>434</v>
      </c>
      <c r="L235" s="18" t="n">
        <v>361</v>
      </c>
      <c r="M235" s="18" t="n">
        <v>395</v>
      </c>
      <c r="N235" s="18" t="n">
        <v>400</v>
      </c>
      <c r="O235" s="18" t="n">
        <v>399</v>
      </c>
      <c r="P235" s="18" t="n">
        <v>413</v>
      </c>
      <c r="Q235" s="18" t="n">
        <v>44</v>
      </c>
      <c r="R235" s="18" t="n">
        <v>37</v>
      </c>
      <c r="S235" s="18" t="n">
        <v>40</v>
      </c>
      <c r="T235" s="18" t="n">
        <v>40</v>
      </c>
      <c r="U235" s="18" t="n">
        <v>40</v>
      </c>
      <c r="V235" s="18" t="n">
        <v>42</v>
      </c>
      <c r="W235" s="20" t="n"/>
      <c r="X235" s="20" t="n"/>
      <c r="Y235" s="20" t="n"/>
      <c r="Z235" s="20" t="n"/>
      <c r="AA235" s="20" t="n"/>
      <c r="AB235" s="20" t="n"/>
      <c r="AC235" s="21">
        <f>IF(W235="","",W235-K235)</f>
        <v/>
      </c>
      <c r="AD235" s="21">
        <f>IF(X235="","",X235-L235)</f>
        <v/>
      </c>
      <c r="AE235" s="21">
        <f>IF(Y235="","",Y235-M235)</f>
        <v/>
      </c>
      <c r="AF235" s="21">
        <f>IF(Z235="","",Z235-N235)</f>
        <v/>
      </c>
      <c r="AG235" s="21">
        <f>IF(AA235="","",AA235-O235)</f>
        <v/>
      </c>
      <c r="AH235" s="21">
        <f>IF(AB235="","",AB235-P235)</f>
        <v/>
      </c>
      <c r="AI235" s="18">
        <f>IF(COUNTA(W235:AB235)=0,"未入力",IF(COUNTA(W235:AB235)&lt;6,"一部入力",IF(COUNTIF(AC235:AH235,0)=6,"一致","差分あり")))</f>
        <v/>
      </c>
      <c r="AJ2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5" s="19" t="inlineStr"/>
      <c r="AL235" s="18" t="inlineStr">
        <is>
          <t>2026-06-29</t>
        </is>
      </c>
    </row>
    <row r="236" ht="22" customHeight="1">
      <c r="A236" s="17" t="inlineStr">
        <is>
          <t>1003206-LB4</t>
        </is>
      </c>
      <c r="B236" s="18" t="n">
        <v>1003206</v>
      </c>
      <c r="C236" s="17" t="inlineStr">
        <is>
          <t>SSakuraba06</t>
        </is>
      </c>
      <c r="D236" s="17" t="inlineStr">
        <is>
          <t>SSakuraba</t>
        </is>
      </c>
      <c r="E236" s="17" t="inlineStr">
        <is>
          <t>桜庭 星羅</t>
        </is>
      </c>
      <c r="F236" s="19" t="inlineStr">
        <is>
          <t>Sanctuary Veil</t>
        </is>
      </c>
      <c r="G236" s="18" t="inlineStr">
        <is>
          <t>SS</t>
        </is>
      </c>
      <c r="H236" s="17" t="inlineStr">
        <is>
          <t>Defender</t>
        </is>
      </c>
      <c r="I236" s="18" t="n">
        <v>4</v>
      </c>
      <c r="J236" s="18" t="n">
        <v>4</v>
      </c>
      <c r="K236" s="18" t="n">
        <v>521</v>
      </c>
      <c r="L236" s="18" t="n">
        <v>448</v>
      </c>
      <c r="M236" s="18" t="n">
        <v>485</v>
      </c>
      <c r="N236" s="18" t="n">
        <v>488</v>
      </c>
      <c r="O236" s="18" t="n">
        <v>486</v>
      </c>
      <c r="P236" s="18" t="n">
        <v>501</v>
      </c>
      <c r="Q236" s="18" t="n">
        <v>53</v>
      </c>
      <c r="R236" s="18" t="n">
        <v>45</v>
      </c>
      <c r="S236" s="18" t="n">
        <v>49</v>
      </c>
      <c r="T236" s="18" t="n">
        <v>49</v>
      </c>
      <c r="U236" s="18" t="n">
        <v>49</v>
      </c>
      <c r="V236" s="18" t="n">
        <v>51</v>
      </c>
      <c r="W236" s="20" t="n"/>
      <c r="X236" s="20" t="n"/>
      <c r="Y236" s="20" t="n"/>
      <c r="Z236" s="20" t="n"/>
      <c r="AA236" s="20" t="n"/>
      <c r="AB236" s="20" t="n"/>
      <c r="AC236" s="21">
        <f>IF(W236="","",W236-K236)</f>
        <v/>
      </c>
      <c r="AD236" s="21">
        <f>IF(X236="","",X236-L236)</f>
        <v/>
      </c>
      <c r="AE236" s="21">
        <f>IF(Y236="","",Y236-M236)</f>
        <v/>
      </c>
      <c r="AF236" s="21">
        <f>IF(Z236="","",Z236-N236)</f>
        <v/>
      </c>
      <c r="AG236" s="21">
        <f>IF(AA236="","",AA236-O236)</f>
        <v/>
      </c>
      <c r="AH236" s="21">
        <f>IF(AB236="","",AB236-P236)</f>
        <v/>
      </c>
      <c r="AI236" s="18">
        <f>IF(COUNTA(W236:AB236)=0,"未入力",IF(COUNTA(W236:AB236)&lt;6,"一部入力",IF(COUNTIF(AC236:AH236,0)=6,"一致","差分あり")))</f>
        <v/>
      </c>
      <c r="AJ2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6" s="19" t="inlineStr"/>
      <c r="AL236" s="18" t="inlineStr">
        <is>
          <t>2026-06-29</t>
        </is>
      </c>
    </row>
    <row r="237" ht="22" customHeight="1">
      <c r="A237" s="17" t="inlineStr">
        <is>
          <t>1003207-LB0</t>
        </is>
      </c>
      <c r="B237" s="18" t="n">
        <v>1003207</v>
      </c>
      <c r="C237" s="17" t="inlineStr">
        <is>
          <t>SSakuraba07</t>
        </is>
      </c>
      <c r="D237" s="17" t="inlineStr">
        <is>
          <t>SSakuraba</t>
        </is>
      </c>
      <c r="E237" s="17" t="inlineStr">
        <is>
          <t>桜庭 星羅</t>
        </is>
      </c>
      <c r="F237" s="19" t="inlineStr">
        <is>
          <t>魔王に仕えし幻影の大魔道士</t>
        </is>
      </c>
      <c r="G237" s="18" t="inlineStr">
        <is>
          <t>SS</t>
        </is>
      </c>
      <c r="H237" s="17" t="inlineStr">
        <is>
          <t>Defender</t>
        </is>
      </c>
      <c r="I237" s="18" t="n">
        <v>0</v>
      </c>
      <c r="J237" s="18" t="n">
        <v>4</v>
      </c>
      <c r="K237" s="18" t="n">
        <v>399</v>
      </c>
      <c r="L237" s="18" t="n">
        <v>396</v>
      </c>
      <c r="M237" s="18" t="n">
        <v>444</v>
      </c>
      <c r="N237" s="18" t="n">
        <v>413</v>
      </c>
      <c r="O237" s="18" t="n">
        <v>386</v>
      </c>
      <c r="P237" s="18" t="n">
        <v>365</v>
      </c>
      <c r="Q237" s="18" t="n">
        <v>40</v>
      </c>
      <c r="R237" s="18" t="n">
        <v>40</v>
      </c>
      <c r="S237" s="18" t="n">
        <v>45</v>
      </c>
      <c r="T237" s="18" t="n">
        <v>42</v>
      </c>
      <c r="U237" s="18" t="n">
        <v>39</v>
      </c>
      <c r="V237" s="18" t="n">
        <v>37</v>
      </c>
      <c r="W237" s="20" t="n"/>
      <c r="X237" s="20" t="n"/>
      <c r="Y237" s="20" t="n"/>
      <c r="Z237" s="20" t="n"/>
      <c r="AA237" s="20" t="n"/>
      <c r="AB237" s="20" t="n"/>
      <c r="AC237" s="21">
        <f>IF(W237="","",W237-K237)</f>
        <v/>
      </c>
      <c r="AD237" s="21">
        <f>IF(X237="","",X237-L237)</f>
        <v/>
      </c>
      <c r="AE237" s="21">
        <f>IF(Y237="","",Y237-M237)</f>
        <v/>
      </c>
      <c r="AF237" s="21">
        <f>IF(Z237="","",Z237-N237)</f>
        <v/>
      </c>
      <c r="AG237" s="21">
        <f>IF(AA237="","",AA237-O237)</f>
        <v/>
      </c>
      <c r="AH237" s="21">
        <f>IF(AB237="","",AB237-P237)</f>
        <v/>
      </c>
      <c r="AI237" s="18">
        <f>IF(COUNTA(W237:AB237)=0,"未入力",IF(COUNTA(W237:AB237)&lt;6,"一部入力",IF(COUNTIF(AC237:AH237,0)=6,"一致","差分あり")))</f>
        <v/>
      </c>
      <c r="AJ2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7" s="19" t="inlineStr"/>
      <c r="AL237" s="18" t="inlineStr">
        <is>
          <t>2026-06-29</t>
        </is>
      </c>
    </row>
    <row r="238" ht="22" customHeight="1">
      <c r="A238" s="17" t="inlineStr">
        <is>
          <t>1003207-LB4</t>
        </is>
      </c>
      <c r="B238" s="18" t="n">
        <v>1003207</v>
      </c>
      <c r="C238" s="17" t="inlineStr">
        <is>
          <t>SSakuraba07</t>
        </is>
      </c>
      <c r="D238" s="17" t="inlineStr">
        <is>
          <t>SSakuraba</t>
        </is>
      </c>
      <c r="E238" s="17" t="inlineStr">
        <is>
          <t>桜庭 星羅</t>
        </is>
      </c>
      <c r="F238" s="19" t="inlineStr">
        <is>
          <t>魔王に仕えし幻影の大魔道士</t>
        </is>
      </c>
      <c r="G238" s="18" t="inlineStr">
        <is>
          <t>SS</t>
        </is>
      </c>
      <c r="H238" s="17" t="inlineStr">
        <is>
          <t>Defender</t>
        </is>
      </c>
      <c r="I238" s="18" t="n">
        <v>4</v>
      </c>
      <c r="J238" s="18" t="n">
        <v>4</v>
      </c>
      <c r="K238" s="18" t="n">
        <v>486</v>
      </c>
      <c r="L238" s="18" t="n">
        <v>482</v>
      </c>
      <c r="M238" s="18" t="n">
        <v>534</v>
      </c>
      <c r="N238" s="18" t="n">
        <v>501</v>
      </c>
      <c r="O238" s="18" t="n">
        <v>473</v>
      </c>
      <c r="P238" s="18" t="n">
        <v>453</v>
      </c>
      <c r="Q238" s="18" t="n">
        <v>49</v>
      </c>
      <c r="R238" s="18" t="n">
        <v>49</v>
      </c>
      <c r="S238" s="18" t="n">
        <v>54</v>
      </c>
      <c r="T238" s="18" t="n">
        <v>51</v>
      </c>
      <c r="U238" s="18" t="n">
        <v>48</v>
      </c>
      <c r="V238" s="18" t="n">
        <v>46</v>
      </c>
      <c r="W238" s="20" t="n"/>
      <c r="X238" s="20" t="n"/>
      <c r="Y238" s="20" t="n"/>
      <c r="Z238" s="20" t="n"/>
      <c r="AA238" s="20" t="n"/>
      <c r="AB238" s="20" t="n"/>
      <c r="AC238" s="21">
        <f>IF(W238="","",W238-K238)</f>
        <v/>
      </c>
      <c r="AD238" s="21">
        <f>IF(X238="","",X238-L238)</f>
        <v/>
      </c>
      <c r="AE238" s="21">
        <f>IF(Y238="","",Y238-M238)</f>
        <v/>
      </c>
      <c r="AF238" s="21">
        <f>IF(Z238="","",Z238-N238)</f>
        <v/>
      </c>
      <c r="AG238" s="21">
        <f>IF(AA238="","",AA238-O238)</f>
        <v/>
      </c>
      <c r="AH238" s="21">
        <f>IF(AB238="","",AB238-P238)</f>
        <v/>
      </c>
      <c r="AI238" s="18">
        <f>IF(COUNTA(W238:AB238)=0,"未入力",IF(COUNTA(W238:AB238)&lt;6,"一部入力",IF(COUNTIF(AC238:AH238,0)=6,"一致","差分あり")))</f>
        <v/>
      </c>
      <c r="AJ2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8" s="19" t="inlineStr"/>
      <c r="AL238" s="18" t="inlineStr">
        <is>
          <t>2026-06-29</t>
        </is>
      </c>
    </row>
    <row r="239" ht="22" customHeight="1">
      <c r="A239" s="17" t="inlineStr">
        <is>
          <t>1003301-LB0</t>
        </is>
      </c>
      <c r="B239" s="18" t="n">
        <v>1003301</v>
      </c>
      <c r="C239" s="17" t="inlineStr">
        <is>
          <t>MTenne01</t>
        </is>
      </c>
      <c r="D239" s="17" t="inlineStr">
        <is>
          <t>MTenne</t>
        </is>
      </c>
      <c r="E239" s="17" t="inlineStr">
        <is>
          <t>天音 巫呼</t>
        </is>
      </c>
      <c r="F239" s="19" t="inlineStr">
        <is>
          <t>悠久渇望の魔術師</t>
        </is>
      </c>
      <c r="G239" s="18" t="inlineStr">
        <is>
          <t>A</t>
        </is>
      </c>
      <c r="H239" s="17" t="inlineStr">
        <is>
          <t>Debuffer</t>
        </is>
      </c>
      <c r="I239" s="18" t="n">
        <v>0</v>
      </c>
      <c r="J239" s="18" t="n">
        <v>20</v>
      </c>
      <c r="K239" s="18" t="n">
        <v>275</v>
      </c>
      <c r="L239" s="18" t="n">
        <v>282</v>
      </c>
      <c r="M239" s="18" t="n">
        <v>302</v>
      </c>
      <c r="N239" s="18" t="n">
        <v>293</v>
      </c>
      <c r="O239" s="18" t="n">
        <v>245</v>
      </c>
      <c r="P239" s="18" t="n">
        <v>242</v>
      </c>
      <c r="Q239" s="18" t="n">
        <v>28</v>
      </c>
      <c r="R239" s="18" t="n">
        <v>29</v>
      </c>
      <c r="S239" s="18" t="n">
        <v>31</v>
      </c>
      <c r="T239" s="18" t="n">
        <v>30</v>
      </c>
      <c r="U239" s="18" t="n">
        <v>25</v>
      </c>
      <c r="V239" s="18" t="n">
        <v>25</v>
      </c>
      <c r="W239" s="20" t="n"/>
      <c r="X239" s="20" t="n"/>
      <c r="Y239" s="20" t="n"/>
      <c r="Z239" s="20" t="n"/>
      <c r="AA239" s="20" t="n"/>
      <c r="AB239" s="20" t="n"/>
      <c r="AC239" s="21">
        <f>IF(W239="","",W239-K239)</f>
        <v/>
      </c>
      <c r="AD239" s="21">
        <f>IF(X239="","",X239-L239)</f>
        <v/>
      </c>
      <c r="AE239" s="21">
        <f>IF(Y239="","",Y239-M239)</f>
        <v/>
      </c>
      <c r="AF239" s="21">
        <f>IF(Z239="","",Z239-N239)</f>
        <v/>
      </c>
      <c r="AG239" s="21">
        <f>IF(AA239="","",AA239-O239)</f>
        <v/>
      </c>
      <c r="AH239" s="21">
        <f>IF(AB239="","",AB239-P239)</f>
        <v/>
      </c>
      <c r="AI239" s="18">
        <f>IF(COUNTA(W239:AB239)=0,"未入力",IF(COUNTA(W239:AB239)&lt;6,"一部入力",IF(COUNTIF(AC239:AH239,0)=6,"一致","差分あり")))</f>
        <v/>
      </c>
      <c r="AJ2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39" s="19" t="inlineStr"/>
      <c r="AL239" s="18" t="inlineStr">
        <is>
          <t>2026-06-29</t>
        </is>
      </c>
    </row>
    <row r="240" ht="22" customHeight="1">
      <c r="A240" s="17" t="inlineStr">
        <is>
          <t>1003301-LB20</t>
        </is>
      </c>
      <c r="B240" s="18" t="n">
        <v>1003301</v>
      </c>
      <c r="C240" s="17" t="inlineStr">
        <is>
          <t>MTenne01</t>
        </is>
      </c>
      <c r="D240" s="17" t="inlineStr">
        <is>
          <t>MTenne</t>
        </is>
      </c>
      <c r="E240" s="17" t="inlineStr">
        <is>
          <t>天音 巫呼</t>
        </is>
      </c>
      <c r="F240" s="19" t="inlineStr">
        <is>
          <t>悠久渇望の魔術師</t>
        </is>
      </c>
      <c r="G240" s="18" t="inlineStr">
        <is>
          <t>A</t>
        </is>
      </c>
      <c r="H240" s="17" t="inlineStr">
        <is>
          <t>Debuffer</t>
        </is>
      </c>
      <c r="I240" s="18" t="n">
        <v>20</v>
      </c>
      <c r="J240" s="18" t="n">
        <v>20</v>
      </c>
      <c r="K240" s="18" t="n">
        <v>319</v>
      </c>
      <c r="L240" s="18" t="n">
        <v>326</v>
      </c>
      <c r="M240" s="18" t="n">
        <v>349</v>
      </c>
      <c r="N240" s="18" t="n">
        <v>337</v>
      </c>
      <c r="O240" s="18" t="n">
        <v>289</v>
      </c>
      <c r="P240" s="18" t="n">
        <v>285</v>
      </c>
      <c r="Q240" s="18" t="n">
        <v>32</v>
      </c>
      <c r="R240" s="18" t="n">
        <v>33</v>
      </c>
      <c r="S240" s="18" t="n">
        <v>35</v>
      </c>
      <c r="T240" s="18" t="n">
        <v>34</v>
      </c>
      <c r="U240" s="18" t="n">
        <v>29</v>
      </c>
      <c r="V240" s="18" t="n">
        <v>29</v>
      </c>
      <c r="W240" s="20" t="n"/>
      <c r="X240" s="20" t="n"/>
      <c r="Y240" s="20" t="n"/>
      <c r="Z240" s="20" t="n"/>
      <c r="AA240" s="20" t="n"/>
      <c r="AB240" s="20" t="n"/>
      <c r="AC240" s="21">
        <f>IF(W240="","",W240-K240)</f>
        <v/>
      </c>
      <c r="AD240" s="21">
        <f>IF(X240="","",X240-L240)</f>
        <v/>
      </c>
      <c r="AE240" s="21">
        <f>IF(Y240="","",Y240-M240)</f>
        <v/>
      </c>
      <c r="AF240" s="21">
        <f>IF(Z240="","",Z240-N240)</f>
        <v/>
      </c>
      <c r="AG240" s="21">
        <f>IF(AA240="","",AA240-O240)</f>
        <v/>
      </c>
      <c r="AH240" s="21">
        <f>IF(AB240="","",AB240-P240)</f>
        <v/>
      </c>
      <c r="AI240" s="18">
        <f>IF(COUNTA(W240:AB240)=0,"未入力",IF(COUNTA(W240:AB240)&lt;6,"一部入力",IF(COUNTIF(AC240:AH240,0)=6,"一致","差分あり")))</f>
        <v/>
      </c>
      <c r="AJ2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0" s="19" t="inlineStr"/>
      <c r="AL240" s="18" t="inlineStr">
        <is>
          <t>2026-06-29</t>
        </is>
      </c>
    </row>
    <row r="241" ht="22" customHeight="1">
      <c r="A241" s="17" t="inlineStr">
        <is>
          <t>1003302-LB0</t>
        </is>
      </c>
      <c r="B241" s="18" t="n">
        <v>1003302</v>
      </c>
      <c r="C241" s="17" t="inlineStr">
        <is>
          <t>MTenne02</t>
        </is>
      </c>
      <c r="D241" s="17" t="inlineStr">
        <is>
          <t>MTenne</t>
        </is>
      </c>
      <c r="E241" s="17" t="inlineStr">
        <is>
          <t>天音 巫呼</t>
        </is>
      </c>
      <c r="F241" s="19" t="inlineStr">
        <is>
          <t>夢浮橋辿る赤</t>
        </is>
      </c>
      <c r="G241" s="18" t="inlineStr">
        <is>
          <t>S</t>
        </is>
      </c>
      <c r="H241" s="17" t="inlineStr">
        <is>
          <t>Debuffer</t>
        </is>
      </c>
      <c r="I241" s="18" t="n">
        <v>0</v>
      </c>
      <c r="J241" s="18" t="n">
        <v>10</v>
      </c>
      <c r="K241" s="18" t="n">
        <v>342</v>
      </c>
      <c r="L241" s="18" t="n">
        <v>309</v>
      </c>
      <c r="M241" s="18" t="n">
        <v>319</v>
      </c>
      <c r="N241" s="18" t="n">
        <v>320</v>
      </c>
      <c r="O241" s="18" t="n">
        <v>316</v>
      </c>
      <c r="P241" s="18" t="n">
        <v>344</v>
      </c>
      <c r="Q241" s="18" t="n">
        <v>35</v>
      </c>
      <c r="R241" s="18" t="n">
        <v>31</v>
      </c>
      <c r="S241" s="18" t="n">
        <v>32</v>
      </c>
      <c r="T241" s="18" t="n">
        <v>32</v>
      </c>
      <c r="U241" s="18" t="n">
        <v>32</v>
      </c>
      <c r="V241" s="18" t="n">
        <v>35</v>
      </c>
      <c r="W241" s="20" t="n"/>
      <c r="X241" s="20" t="n"/>
      <c r="Y241" s="20" t="n"/>
      <c r="Z241" s="20" t="n"/>
      <c r="AA241" s="20" t="n"/>
      <c r="AB241" s="20" t="n"/>
      <c r="AC241" s="21">
        <f>IF(W241="","",W241-K241)</f>
        <v/>
      </c>
      <c r="AD241" s="21">
        <f>IF(X241="","",X241-L241)</f>
        <v/>
      </c>
      <c r="AE241" s="21">
        <f>IF(Y241="","",Y241-M241)</f>
        <v/>
      </c>
      <c r="AF241" s="21">
        <f>IF(Z241="","",Z241-N241)</f>
        <v/>
      </c>
      <c r="AG241" s="21">
        <f>IF(AA241="","",AA241-O241)</f>
        <v/>
      </c>
      <c r="AH241" s="21">
        <f>IF(AB241="","",AB241-P241)</f>
        <v/>
      </c>
      <c r="AI241" s="18">
        <f>IF(COUNTA(W241:AB241)=0,"未入力",IF(COUNTA(W241:AB241)&lt;6,"一部入力",IF(COUNTIF(AC241:AH241,0)=6,"一致","差分あり")))</f>
        <v/>
      </c>
      <c r="AJ2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1" s="19" t="inlineStr"/>
      <c r="AL241" s="18" t="inlineStr">
        <is>
          <t>2026-06-29</t>
        </is>
      </c>
    </row>
    <row r="242" ht="22" customHeight="1">
      <c r="A242" s="17" t="inlineStr">
        <is>
          <t>1003302-LB10</t>
        </is>
      </c>
      <c r="B242" s="18" t="n">
        <v>1003302</v>
      </c>
      <c r="C242" s="17" t="inlineStr">
        <is>
          <t>MTenne02</t>
        </is>
      </c>
      <c r="D242" s="17" t="inlineStr">
        <is>
          <t>MTenne</t>
        </is>
      </c>
      <c r="E242" s="17" t="inlineStr">
        <is>
          <t>天音 巫呼</t>
        </is>
      </c>
      <c r="F242" s="19" t="inlineStr">
        <is>
          <t>夢浮橋辿る赤</t>
        </is>
      </c>
      <c r="G242" s="18" t="inlineStr">
        <is>
          <t>S</t>
        </is>
      </c>
      <c r="H242" s="17" t="inlineStr">
        <is>
          <t>Debuffer</t>
        </is>
      </c>
      <c r="I242" s="18" t="n">
        <v>10</v>
      </c>
      <c r="J242" s="18" t="n">
        <v>10</v>
      </c>
      <c r="K242" s="18" t="n">
        <v>410</v>
      </c>
      <c r="L242" s="18" t="n">
        <v>375</v>
      </c>
      <c r="M242" s="18" t="n">
        <v>388</v>
      </c>
      <c r="N242" s="18" t="n">
        <v>386</v>
      </c>
      <c r="O242" s="18" t="n">
        <v>381</v>
      </c>
      <c r="P242" s="18" t="n">
        <v>408</v>
      </c>
      <c r="Q242" s="18" t="n">
        <v>41</v>
      </c>
      <c r="R242" s="18" t="n">
        <v>38</v>
      </c>
      <c r="S242" s="18" t="n">
        <v>39</v>
      </c>
      <c r="T242" s="18" t="n">
        <v>39</v>
      </c>
      <c r="U242" s="18" t="n">
        <v>39</v>
      </c>
      <c r="V242" s="18" t="n">
        <v>41</v>
      </c>
      <c r="W242" s="20" t="n"/>
      <c r="X242" s="20" t="n"/>
      <c r="Y242" s="20" t="n"/>
      <c r="Z242" s="20" t="n"/>
      <c r="AA242" s="20" t="n"/>
      <c r="AB242" s="20" t="n"/>
      <c r="AC242" s="21">
        <f>IF(W242="","",W242-K242)</f>
        <v/>
      </c>
      <c r="AD242" s="21">
        <f>IF(X242="","",X242-L242)</f>
        <v/>
      </c>
      <c r="AE242" s="21">
        <f>IF(Y242="","",Y242-M242)</f>
        <v/>
      </c>
      <c r="AF242" s="21">
        <f>IF(Z242="","",Z242-N242)</f>
        <v/>
      </c>
      <c r="AG242" s="21">
        <f>IF(AA242="","",AA242-O242)</f>
        <v/>
      </c>
      <c r="AH242" s="21">
        <f>IF(AB242="","",AB242-P242)</f>
        <v/>
      </c>
      <c r="AI242" s="18">
        <f>IF(COUNTA(W242:AB242)=0,"未入力",IF(COUNTA(W242:AB242)&lt;6,"一部入力",IF(COUNTIF(AC242:AH242,0)=6,"一致","差分あり")))</f>
        <v/>
      </c>
      <c r="AJ2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2" s="19" t="inlineStr"/>
      <c r="AL242" s="18" t="inlineStr">
        <is>
          <t>2026-06-29</t>
        </is>
      </c>
    </row>
    <row r="243" ht="22" customHeight="1">
      <c r="A243" s="17" t="inlineStr">
        <is>
          <t>1003303-LB0</t>
        </is>
      </c>
      <c r="B243" s="18" t="n">
        <v>1003303</v>
      </c>
      <c r="C243" s="17" t="inlineStr">
        <is>
          <t>MTenne03</t>
        </is>
      </c>
      <c r="D243" s="17" t="inlineStr">
        <is>
          <t>MTenne</t>
        </is>
      </c>
      <c r="E243" s="17" t="inlineStr">
        <is>
          <t>天音 巫呼</t>
        </is>
      </c>
      <c r="F243" s="19" t="inlineStr">
        <is>
          <t>エクスペリメンタルなキミ</t>
        </is>
      </c>
      <c r="G243" s="18" t="inlineStr">
        <is>
          <t>SS</t>
        </is>
      </c>
      <c r="H243" s="17" t="inlineStr">
        <is>
          <t>Debuffer</t>
        </is>
      </c>
      <c r="I243" s="18" t="n">
        <v>0</v>
      </c>
      <c r="J243" s="18" t="n">
        <v>4</v>
      </c>
      <c r="K243" s="18" t="n">
        <v>338</v>
      </c>
      <c r="L243" s="18" t="n">
        <v>415</v>
      </c>
      <c r="M243" s="18" t="n">
        <v>392</v>
      </c>
      <c r="N243" s="18" t="n">
        <v>367</v>
      </c>
      <c r="O243" s="18" t="n">
        <v>388</v>
      </c>
      <c r="P243" s="18" t="n">
        <v>371</v>
      </c>
      <c r="Q243" s="18" t="n">
        <v>34</v>
      </c>
      <c r="R243" s="18" t="n">
        <v>42</v>
      </c>
      <c r="S243" s="18" t="n">
        <v>40</v>
      </c>
      <c r="T243" s="18" t="n">
        <v>37</v>
      </c>
      <c r="U243" s="18" t="n">
        <v>39</v>
      </c>
      <c r="V243" s="18" t="n">
        <v>38</v>
      </c>
      <c r="W243" s="20" t="n"/>
      <c r="X243" s="20" t="n"/>
      <c r="Y243" s="20" t="n"/>
      <c r="Z243" s="20" t="n"/>
      <c r="AA243" s="20" t="n"/>
      <c r="AB243" s="20" t="n"/>
      <c r="AC243" s="21">
        <f>IF(W243="","",W243-K243)</f>
        <v/>
      </c>
      <c r="AD243" s="21">
        <f>IF(X243="","",X243-L243)</f>
        <v/>
      </c>
      <c r="AE243" s="21">
        <f>IF(Y243="","",Y243-M243)</f>
        <v/>
      </c>
      <c r="AF243" s="21">
        <f>IF(Z243="","",Z243-N243)</f>
        <v/>
      </c>
      <c r="AG243" s="21">
        <f>IF(AA243="","",AA243-O243)</f>
        <v/>
      </c>
      <c r="AH243" s="21">
        <f>IF(AB243="","",AB243-P243)</f>
        <v/>
      </c>
      <c r="AI243" s="18">
        <f>IF(COUNTA(W243:AB243)=0,"未入力",IF(COUNTA(W243:AB243)&lt;6,"一部入力",IF(COUNTIF(AC243:AH243,0)=6,"一致","差分あり")))</f>
        <v/>
      </c>
      <c r="AJ2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3" s="19" t="inlineStr"/>
      <c r="AL243" s="18" t="inlineStr">
        <is>
          <t>2026-06-29</t>
        </is>
      </c>
    </row>
    <row r="244" ht="22" customHeight="1">
      <c r="A244" s="17" t="inlineStr">
        <is>
          <t>1003303-LB4</t>
        </is>
      </c>
      <c r="B244" s="18" t="n">
        <v>1003303</v>
      </c>
      <c r="C244" s="17" t="inlineStr">
        <is>
          <t>MTenne03</t>
        </is>
      </c>
      <c r="D244" s="17" t="inlineStr">
        <is>
          <t>MTenne</t>
        </is>
      </c>
      <c r="E244" s="17" t="inlineStr">
        <is>
          <t>天音 巫呼</t>
        </is>
      </c>
      <c r="F244" s="19" t="inlineStr">
        <is>
          <t>エクスペリメンタルなキミ</t>
        </is>
      </c>
      <c r="G244" s="18" t="inlineStr">
        <is>
          <t>SS</t>
        </is>
      </c>
      <c r="H244" s="17" t="inlineStr">
        <is>
          <t>Debuffer</t>
        </is>
      </c>
      <c r="I244" s="18" t="n">
        <v>4</v>
      </c>
      <c r="J244" s="18" t="n">
        <v>4</v>
      </c>
      <c r="K244" s="18" t="n">
        <v>424</v>
      </c>
      <c r="L244" s="18" t="n">
        <v>504</v>
      </c>
      <c r="M244" s="18" t="n">
        <v>484</v>
      </c>
      <c r="N244" s="18" t="n">
        <v>455</v>
      </c>
      <c r="O244" s="18" t="n">
        <v>475</v>
      </c>
      <c r="P244" s="18" t="n">
        <v>457</v>
      </c>
      <c r="Q244" s="18" t="n">
        <v>43</v>
      </c>
      <c r="R244" s="18" t="n">
        <v>51</v>
      </c>
      <c r="S244" s="18" t="n">
        <v>49</v>
      </c>
      <c r="T244" s="18" t="n">
        <v>46</v>
      </c>
      <c r="U244" s="18" t="n">
        <v>48</v>
      </c>
      <c r="V244" s="18" t="n">
        <v>46</v>
      </c>
      <c r="W244" s="20" t="n"/>
      <c r="X244" s="20" t="n"/>
      <c r="Y244" s="20" t="n"/>
      <c r="Z244" s="20" t="n"/>
      <c r="AA244" s="20" t="n"/>
      <c r="AB244" s="20" t="n"/>
      <c r="AC244" s="21">
        <f>IF(W244="","",W244-K244)</f>
        <v/>
      </c>
      <c r="AD244" s="21">
        <f>IF(X244="","",X244-L244)</f>
        <v/>
      </c>
      <c r="AE244" s="21">
        <f>IF(Y244="","",Y244-M244)</f>
        <v/>
      </c>
      <c r="AF244" s="21">
        <f>IF(Z244="","",Z244-N244)</f>
        <v/>
      </c>
      <c r="AG244" s="21">
        <f>IF(AA244="","",AA244-O244)</f>
        <v/>
      </c>
      <c r="AH244" s="21">
        <f>IF(AB244="","",AB244-P244)</f>
        <v/>
      </c>
      <c r="AI244" s="18">
        <f>IF(COUNTA(W244:AB244)=0,"未入力",IF(COUNTA(W244:AB244)&lt;6,"一部入力",IF(COUNTIF(AC244:AH244,0)=6,"一致","差分あり")))</f>
        <v/>
      </c>
      <c r="AJ2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4" s="19" t="inlineStr"/>
      <c r="AL244" s="18" t="inlineStr">
        <is>
          <t>2026-06-29</t>
        </is>
      </c>
    </row>
    <row r="245" ht="22" customHeight="1">
      <c r="A245" s="17" t="inlineStr">
        <is>
          <t>1003304-LB0</t>
        </is>
      </c>
      <c r="B245" s="18" t="n">
        <v>1003304</v>
      </c>
      <c r="C245" s="17" t="inlineStr">
        <is>
          <t>MTenne04</t>
        </is>
      </c>
      <c r="D245" s="17" t="inlineStr">
        <is>
          <t>MTenne</t>
        </is>
      </c>
      <c r="E245" s="17" t="inlineStr">
        <is>
          <t>天音 巫呼</t>
        </is>
      </c>
      <c r="F245" s="19" t="inlineStr">
        <is>
          <t>山脇様の手下：マジカルにゃん</t>
        </is>
      </c>
      <c r="G245" s="18" t="inlineStr">
        <is>
          <t>SS</t>
        </is>
      </c>
      <c r="H245" s="17" t="inlineStr">
        <is>
          <t>Debuffer</t>
        </is>
      </c>
      <c r="I245" s="18" t="n">
        <v>0</v>
      </c>
      <c r="J245" s="18" t="n">
        <v>4</v>
      </c>
      <c r="K245" s="18" t="n">
        <v>394</v>
      </c>
      <c r="L245" s="18" t="n">
        <v>402</v>
      </c>
      <c r="M245" s="18" t="n">
        <v>452</v>
      </c>
      <c r="N245" s="18" t="n">
        <v>415</v>
      </c>
      <c r="O245" s="18" t="n">
        <v>384</v>
      </c>
      <c r="P245" s="18" t="n">
        <v>358</v>
      </c>
      <c r="Q245" s="18" t="n">
        <v>40</v>
      </c>
      <c r="R245" s="18" t="n">
        <v>41</v>
      </c>
      <c r="S245" s="18" t="n">
        <v>46</v>
      </c>
      <c r="T245" s="18" t="n">
        <v>42</v>
      </c>
      <c r="U245" s="18" t="n">
        <v>39</v>
      </c>
      <c r="V245" s="18" t="n">
        <v>36</v>
      </c>
      <c r="W245" s="20" t="n"/>
      <c r="X245" s="20" t="n"/>
      <c r="Y245" s="20" t="n"/>
      <c r="Z245" s="20" t="n"/>
      <c r="AA245" s="20" t="n"/>
      <c r="AB245" s="20" t="n"/>
      <c r="AC245" s="21">
        <f>IF(W245="","",W245-K245)</f>
        <v/>
      </c>
      <c r="AD245" s="21">
        <f>IF(X245="","",X245-L245)</f>
        <v/>
      </c>
      <c r="AE245" s="21">
        <f>IF(Y245="","",Y245-M245)</f>
        <v/>
      </c>
      <c r="AF245" s="21">
        <f>IF(Z245="","",Z245-N245)</f>
        <v/>
      </c>
      <c r="AG245" s="21">
        <f>IF(AA245="","",AA245-O245)</f>
        <v/>
      </c>
      <c r="AH245" s="21">
        <f>IF(AB245="","",AB245-P245)</f>
        <v/>
      </c>
      <c r="AI245" s="18">
        <f>IF(COUNTA(W245:AB245)=0,"未入力",IF(COUNTA(W245:AB245)&lt;6,"一部入力",IF(COUNTIF(AC245:AH245,0)=6,"一致","差分あり")))</f>
        <v/>
      </c>
      <c r="AJ2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5" s="19" t="inlineStr"/>
      <c r="AL245" s="18" t="inlineStr">
        <is>
          <t>2026-06-29</t>
        </is>
      </c>
    </row>
    <row r="246" ht="22" customHeight="1">
      <c r="A246" s="17" t="inlineStr">
        <is>
          <t>1003304-LB4</t>
        </is>
      </c>
      <c r="B246" s="18" t="n">
        <v>1003304</v>
      </c>
      <c r="C246" s="17" t="inlineStr">
        <is>
          <t>MTenne04</t>
        </is>
      </c>
      <c r="D246" s="17" t="inlineStr">
        <is>
          <t>MTenne</t>
        </is>
      </c>
      <c r="E246" s="17" t="inlineStr">
        <is>
          <t>天音 巫呼</t>
        </is>
      </c>
      <c r="F246" s="19" t="inlineStr">
        <is>
          <t>山脇様の手下：マジカルにゃん</t>
        </is>
      </c>
      <c r="G246" s="18" t="inlineStr">
        <is>
          <t>SS</t>
        </is>
      </c>
      <c r="H246" s="17" t="inlineStr">
        <is>
          <t>Debuffer</t>
        </is>
      </c>
      <c r="I246" s="18" t="n">
        <v>4</v>
      </c>
      <c r="J246" s="18" t="n">
        <v>4</v>
      </c>
      <c r="K246" s="18" t="n">
        <v>480</v>
      </c>
      <c r="L246" s="18" t="n">
        <v>491</v>
      </c>
      <c r="M246" s="18" t="n">
        <v>543</v>
      </c>
      <c r="N246" s="18" t="n">
        <v>504</v>
      </c>
      <c r="O246" s="18" t="n">
        <v>471</v>
      </c>
      <c r="P246" s="18" t="n">
        <v>444</v>
      </c>
      <c r="Q246" s="18" t="n">
        <v>48</v>
      </c>
      <c r="R246" s="18" t="n">
        <v>50</v>
      </c>
      <c r="S246" s="18" t="n">
        <v>55</v>
      </c>
      <c r="T246" s="18" t="n">
        <v>51</v>
      </c>
      <c r="U246" s="18" t="n">
        <v>48</v>
      </c>
      <c r="V246" s="18" t="n">
        <v>45</v>
      </c>
      <c r="W246" s="20" t="n"/>
      <c r="X246" s="20" t="n"/>
      <c r="Y246" s="20" t="n"/>
      <c r="Z246" s="20" t="n"/>
      <c r="AA246" s="20" t="n"/>
      <c r="AB246" s="20" t="n"/>
      <c r="AC246" s="21">
        <f>IF(W246="","",W246-K246)</f>
        <v/>
      </c>
      <c r="AD246" s="21">
        <f>IF(X246="","",X246-L246)</f>
        <v/>
      </c>
      <c r="AE246" s="21">
        <f>IF(Y246="","",Y246-M246)</f>
        <v/>
      </c>
      <c r="AF246" s="21">
        <f>IF(Z246="","",Z246-N246)</f>
        <v/>
      </c>
      <c r="AG246" s="21">
        <f>IF(AA246="","",AA246-O246)</f>
        <v/>
      </c>
      <c r="AH246" s="21">
        <f>IF(AB246="","",AB246-P246)</f>
        <v/>
      </c>
      <c r="AI246" s="18">
        <f>IF(COUNTA(W246:AB246)=0,"未入力",IF(COUNTA(W246:AB246)&lt;6,"一部入力",IF(COUNTIF(AC246:AH246,0)=6,"一致","差分あり")))</f>
        <v/>
      </c>
      <c r="AJ2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6" s="19" t="inlineStr"/>
      <c r="AL246" s="18" t="inlineStr">
        <is>
          <t>2026-06-29</t>
        </is>
      </c>
    </row>
    <row r="247" ht="22" customHeight="1">
      <c r="A247" s="17" t="inlineStr">
        <is>
          <t>1003305-LB0</t>
        </is>
      </c>
      <c r="B247" s="18" t="n">
        <v>1003305</v>
      </c>
      <c r="C247" s="17" t="inlineStr">
        <is>
          <t>MTenne05</t>
        </is>
      </c>
      <c r="D247" s="17" t="inlineStr">
        <is>
          <t>MTenne</t>
        </is>
      </c>
      <c r="E247" s="17" t="inlineStr">
        <is>
          <t>天音 巫呼</t>
        </is>
      </c>
      <c r="F247" s="19" t="inlineStr">
        <is>
          <t>至高のひととき</t>
        </is>
      </c>
      <c r="G247" s="18" t="inlineStr">
        <is>
          <t>SS</t>
        </is>
      </c>
      <c r="H247" s="17" t="inlineStr">
        <is>
          <t>Debuffer</t>
        </is>
      </c>
      <c r="I247" s="18" t="n">
        <v>0</v>
      </c>
      <c r="J247" s="18" t="n">
        <v>4</v>
      </c>
      <c r="K247" s="18" t="n">
        <v>394</v>
      </c>
      <c r="L247" s="18" t="n">
        <v>402</v>
      </c>
      <c r="M247" s="18" t="n">
        <v>452</v>
      </c>
      <c r="N247" s="18" t="n">
        <v>415</v>
      </c>
      <c r="O247" s="18" t="n">
        <v>384</v>
      </c>
      <c r="P247" s="18" t="n">
        <v>358</v>
      </c>
      <c r="Q247" s="18" t="n">
        <v>40</v>
      </c>
      <c r="R247" s="18" t="n">
        <v>41</v>
      </c>
      <c r="S247" s="18" t="n">
        <v>46</v>
      </c>
      <c r="T247" s="18" t="n">
        <v>42</v>
      </c>
      <c r="U247" s="18" t="n">
        <v>39</v>
      </c>
      <c r="V247" s="18" t="n">
        <v>36</v>
      </c>
      <c r="W247" s="20" t="n"/>
      <c r="X247" s="20" t="n"/>
      <c r="Y247" s="20" t="n"/>
      <c r="Z247" s="20" t="n"/>
      <c r="AA247" s="20" t="n"/>
      <c r="AB247" s="20" t="n"/>
      <c r="AC247" s="21">
        <f>IF(W247="","",W247-K247)</f>
        <v/>
      </c>
      <c r="AD247" s="21">
        <f>IF(X247="","",X247-L247)</f>
        <v/>
      </c>
      <c r="AE247" s="21">
        <f>IF(Y247="","",Y247-M247)</f>
        <v/>
      </c>
      <c r="AF247" s="21">
        <f>IF(Z247="","",Z247-N247)</f>
        <v/>
      </c>
      <c r="AG247" s="21">
        <f>IF(AA247="","",AA247-O247)</f>
        <v/>
      </c>
      <c r="AH247" s="21">
        <f>IF(AB247="","",AB247-P247)</f>
        <v/>
      </c>
      <c r="AI247" s="18">
        <f>IF(COUNTA(W247:AB247)=0,"未入力",IF(COUNTA(W247:AB247)&lt;6,"一部入力",IF(COUNTIF(AC247:AH247,0)=6,"一致","差分あり")))</f>
        <v/>
      </c>
      <c r="AJ2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7" s="19" t="inlineStr"/>
      <c r="AL247" s="18" t="inlineStr">
        <is>
          <t>2026-06-29</t>
        </is>
      </c>
    </row>
    <row r="248" ht="22" customHeight="1">
      <c r="A248" s="17" t="inlineStr">
        <is>
          <t>1003305-LB4</t>
        </is>
      </c>
      <c r="B248" s="18" t="n">
        <v>1003305</v>
      </c>
      <c r="C248" s="17" t="inlineStr">
        <is>
          <t>MTenne05</t>
        </is>
      </c>
      <c r="D248" s="17" t="inlineStr">
        <is>
          <t>MTenne</t>
        </is>
      </c>
      <c r="E248" s="17" t="inlineStr">
        <is>
          <t>天音 巫呼</t>
        </is>
      </c>
      <c r="F248" s="19" t="inlineStr">
        <is>
          <t>至高のひととき</t>
        </is>
      </c>
      <c r="G248" s="18" t="inlineStr">
        <is>
          <t>SS</t>
        </is>
      </c>
      <c r="H248" s="17" t="inlineStr">
        <is>
          <t>Debuffer</t>
        </is>
      </c>
      <c r="I248" s="18" t="n">
        <v>4</v>
      </c>
      <c r="J248" s="18" t="n">
        <v>4</v>
      </c>
      <c r="K248" s="18" t="n">
        <v>480</v>
      </c>
      <c r="L248" s="18" t="n">
        <v>491</v>
      </c>
      <c r="M248" s="18" t="n">
        <v>543</v>
      </c>
      <c r="N248" s="18" t="n">
        <v>504</v>
      </c>
      <c r="O248" s="18" t="n">
        <v>471</v>
      </c>
      <c r="P248" s="18" t="n">
        <v>444</v>
      </c>
      <c r="Q248" s="18" t="n">
        <v>48</v>
      </c>
      <c r="R248" s="18" t="n">
        <v>50</v>
      </c>
      <c r="S248" s="18" t="n">
        <v>55</v>
      </c>
      <c r="T248" s="18" t="n">
        <v>51</v>
      </c>
      <c r="U248" s="18" t="n">
        <v>48</v>
      </c>
      <c r="V248" s="18" t="n">
        <v>45</v>
      </c>
      <c r="W248" s="20" t="n"/>
      <c r="X248" s="20" t="n"/>
      <c r="Y248" s="20" t="n"/>
      <c r="Z248" s="20" t="n"/>
      <c r="AA248" s="20" t="n"/>
      <c r="AB248" s="20" t="n"/>
      <c r="AC248" s="21">
        <f>IF(W248="","",W248-K248)</f>
        <v/>
      </c>
      <c r="AD248" s="21">
        <f>IF(X248="","",X248-L248)</f>
        <v/>
      </c>
      <c r="AE248" s="21">
        <f>IF(Y248="","",Y248-M248)</f>
        <v/>
      </c>
      <c r="AF248" s="21">
        <f>IF(Z248="","",Z248-N248)</f>
        <v/>
      </c>
      <c r="AG248" s="21">
        <f>IF(AA248="","",AA248-O248)</f>
        <v/>
      </c>
      <c r="AH248" s="21">
        <f>IF(AB248="","",AB248-P248)</f>
        <v/>
      </c>
      <c r="AI248" s="18">
        <f>IF(COUNTA(W248:AB248)=0,"未入力",IF(COUNTA(W248:AB248)&lt;6,"一部入力",IF(COUNTIF(AC248:AH248,0)=6,"一致","差分あり")))</f>
        <v/>
      </c>
      <c r="AJ2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8" s="19" t="inlineStr"/>
      <c r="AL248" s="18" t="inlineStr">
        <is>
          <t>2026-06-29</t>
        </is>
      </c>
    </row>
    <row r="249" ht="22" customHeight="1">
      <c r="A249" s="17" t="inlineStr">
        <is>
          <t>1003306-LB0</t>
        </is>
      </c>
      <c r="B249" s="18" t="n">
        <v>1003306</v>
      </c>
      <c r="C249" s="17" t="inlineStr">
        <is>
          <t>MTenne06</t>
        </is>
      </c>
      <c r="D249" s="17" t="inlineStr">
        <is>
          <t>MTenne</t>
        </is>
      </c>
      <c r="E249" s="17" t="inlineStr">
        <is>
          <t>天音 巫呼</t>
        </is>
      </c>
      <c r="F249" s="19" t="inlineStr">
        <is>
          <t>魔王に仕えし冥界の死霊使い</t>
        </is>
      </c>
      <c r="G249" s="18" t="inlineStr">
        <is>
          <t>SS</t>
        </is>
      </c>
      <c r="H249" s="17" t="inlineStr">
        <is>
          <t>Healer</t>
        </is>
      </c>
      <c r="I249" s="18" t="n">
        <v>0</v>
      </c>
      <c r="J249" s="18" t="n">
        <v>4</v>
      </c>
      <c r="K249" s="18" t="n">
        <v>394</v>
      </c>
      <c r="L249" s="18" t="n">
        <v>402</v>
      </c>
      <c r="M249" s="18" t="n">
        <v>452</v>
      </c>
      <c r="N249" s="18" t="n">
        <v>415</v>
      </c>
      <c r="O249" s="18" t="n">
        <v>384</v>
      </c>
      <c r="P249" s="18" t="n">
        <v>358</v>
      </c>
      <c r="Q249" s="18" t="n">
        <v>40</v>
      </c>
      <c r="R249" s="18" t="n">
        <v>41</v>
      </c>
      <c r="S249" s="18" t="n">
        <v>46</v>
      </c>
      <c r="T249" s="18" t="n">
        <v>42</v>
      </c>
      <c r="U249" s="18" t="n">
        <v>39</v>
      </c>
      <c r="V249" s="18" t="n">
        <v>36</v>
      </c>
      <c r="W249" s="20" t="n"/>
      <c r="X249" s="20" t="n"/>
      <c r="Y249" s="20" t="n"/>
      <c r="Z249" s="20" t="n"/>
      <c r="AA249" s="20" t="n"/>
      <c r="AB249" s="20" t="n"/>
      <c r="AC249" s="21">
        <f>IF(W249="","",W249-K249)</f>
        <v/>
      </c>
      <c r="AD249" s="21">
        <f>IF(X249="","",X249-L249)</f>
        <v/>
      </c>
      <c r="AE249" s="21">
        <f>IF(Y249="","",Y249-M249)</f>
        <v/>
      </c>
      <c r="AF249" s="21">
        <f>IF(Z249="","",Z249-N249)</f>
        <v/>
      </c>
      <c r="AG249" s="21">
        <f>IF(AA249="","",AA249-O249)</f>
        <v/>
      </c>
      <c r="AH249" s="21">
        <f>IF(AB249="","",AB249-P249)</f>
        <v/>
      </c>
      <c r="AI249" s="18">
        <f>IF(COUNTA(W249:AB249)=0,"未入力",IF(COUNTA(W249:AB249)&lt;6,"一部入力",IF(COUNTIF(AC249:AH249,0)=6,"一致","差分あり")))</f>
        <v/>
      </c>
      <c r="AJ2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49" s="19" t="inlineStr"/>
      <c r="AL249" s="18" t="inlineStr">
        <is>
          <t>2026-06-29</t>
        </is>
      </c>
    </row>
    <row r="250" ht="22" customHeight="1">
      <c r="A250" s="17" t="inlineStr">
        <is>
          <t>1003306-LB4</t>
        </is>
      </c>
      <c r="B250" s="18" t="n">
        <v>1003306</v>
      </c>
      <c r="C250" s="17" t="inlineStr">
        <is>
          <t>MTenne06</t>
        </is>
      </c>
      <c r="D250" s="17" t="inlineStr">
        <is>
          <t>MTenne</t>
        </is>
      </c>
      <c r="E250" s="17" t="inlineStr">
        <is>
          <t>天音 巫呼</t>
        </is>
      </c>
      <c r="F250" s="19" t="inlineStr">
        <is>
          <t>魔王に仕えし冥界の死霊使い</t>
        </is>
      </c>
      <c r="G250" s="18" t="inlineStr">
        <is>
          <t>SS</t>
        </is>
      </c>
      <c r="H250" s="17" t="inlineStr">
        <is>
          <t>Healer</t>
        </is>
      </c>
      <c r="I250" s="18" t="n">
        <v>4</v>
      </c>
      <c r="J250" s="18" t="n">
        <v>4</v>
      </c>
      <c r="K250" s="18" t="n">
        <v>480</v>
      </c>
      <c r="L250" s="18" t="n">
        <v>491</v>
      </c>
      <c r="M250" s="18" t="n">
        <v>543</v>
      </c>
      <c r="N250" s="18" t="n">
        <v>504</v>
      </c>
      <c r="O250" s="18" t="n">
        <v>471</v>
      </c>
      <c r="P250" s="18" t="n">
        <v>444</v>
      </c>
      <c r="Q250" s="18" t="n">
        <v>48</v>
      </c>
      <c r="R250" s="18" t="n">
        <v>50</v>
      </c>
      <c r="S250" s="18" t="n">
        <v>55</v>
      </c>
      <c r="T250" s="18" t="n">
        <v>51</v>
      </c>
      <c r="U250" s="18" t="n">
        <v>48</v>
      </c>
      <c r="V250" s="18" t="n">
        <v>45</v>
      </c>
      <c r="W250" s="20" t="n"/>
      <c r="X250" s="20" t="n"/>
      <c r="Y250" s="20" t="n"/>
      <c r="Z250" s="20" t="n"/>
      <c r="AA250" s="20" t="n"/>
      <c r="AB250" s="20" t="n"/>
      <c r="AC250" s="21">
        <f>IF(W250="","",W250-K250)</f>
        <v/>
      </c>
      <c r="AD250" s="21">
        <f>IF(X250="","",X250-L250)</f>
        <v/>
      </c>
      <c r="AE250" s="21">
        <f>IF(Y250="","",Y250-M250)</f>
        <v/>
      </c>
      <c r="AF250" s="21">
        <f>IF(Z250="","",Z250-N250)</f>
        <v/>
      </c>
      <c r="AG250" s="21">
        <f>IF(AA250="","",AA250-O250)</f>
        <v/>
      </c>
      <c r="AH250" s="21">
        <f>IF(AB250="","",AB250-P250)</f>
        <v/>
      </c>
      <c r="AI250" s="18">
        <f>IF(COUNTA(W250:AB250)=0,"未入力",IF(COUNTA(W250:AB250)&lt;6,"一部入力",IF(COUNTIF(AC250:AH250,0)=6,"一致","差分あり")))</f>
        <v/>
      </c>
      <c r="AJ2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0" s="19" t="inlineStr"/>
      <c r="AL250" s="18" t="inlineStr">
        <is>
          <t>2026-06-29</t>
        </is>
      </c>
    </row>
    <row r="251" ht="22" customHeight="1">
      <c r="A251" s="17" t="inlineStr">
        <is>
          <t>1003307-LB0</t>
        </is>
      </c>
      <c r="B251" s="18" t="n">
        <v>1003307</v>
      </c>
      <c r="C251" s="17" t="inlineStr">
        <is>
          <t>MTenne07</t>
        </is>
      </c>
      <c r="D251" s="17" t="inlineStr">
        <is>
          <t>MTenne</t>
        </is>
      </c>
      <c r="E251" s="17" t="inlineStr">
        <is>
          <t>天音 巫呼</t>
        </is>
      </c>
      <c r="F251" s="19" t="inlineStr">
        <is>
          <t>薄闇に結ぶ調合式</t>
        </is>
      </c>
      <c r="G251" s="18" t="inlineStr">
        <is>
          <t>S</t>
        </is>
      </c>
      <c r="H251" s="17" t="inlineStr">
        <is>
          <t>Debuffer</t>
        </is>
      </c>
      <c r="I251" s="18" t="n">
        <v>0</v>
      </c>
      <c r="J251" s="18" t="n">
        <v>10</v>
      </c>
      <c r="K251" s="18" t="n">
        <v>313</v>
      </c>
      <c r="L251" s="18" t="n">
        <v>320</v>
      </c>
      <c r="M251" s="18" t="n">
        <v>365</v>
      </c>
      <c r="N251" s="18" t="n">
        <v>353</v>
      </c>
      <c r="O251" s="18" t="n">
        <v>305</v>
      </c>
      <c r="P251" s="18" t="n">
        <v>301</v>
      </c>
      <c r="Q251" s="18" t="n">
        <v>32</v>
      </c>
      <c r="R251" s="18" t="n">
        <v>32</v>
      </c>
      <c r="S251" s="18" t="n">
        <v>37</v>
      </c>
      <c r="T251" s="18" t="n">
        <v>36</v>
      </c>
      <c r="U251" s="18" t="n">
        <v>31</v>
      </c>
      <c r="V251" s="18" t="n">
        <v>31</v>
      </c>
      <c r="W251" s="20" t="n"/>
      <c r="X251" s="20" t="n"/>
      <c r="Y251" s="20" t="n"/>
      <c r="Z251" s="20" t="n"/>
      <c r="AA251" s="20" t="n"/>
      <c r="AB251" s="20" t="n"/>
      <c r="AC251" s="21">
        <f>IF(W251="","",W251-K251)</f>
        <v/>
      </c>
      <c r="AD251" s="21">
        <f>IF(X251="","",X251-L251)</f>
        <v/>
      </c>
      <c r="AE251" s="21">
        <f>IF(Y251="","",Y251-M251)</f>
        <v/>
      </c>
      <c r="AF251" s="21">
        <f>IF(Z251="","",Z251-N251)</f>
        <v/>
      </c>
      <c r="AG251" s="21">
        <f>IF(AA251="","",AA251-O251)</f>
        <v/>
      </c>
      <c r="AH251" s="21">
        <f>IF(AB251="","",AB251-P251)</f>
        <v/>
      </c>
      <c r="AI251" s="18">
        <f>IF(COUNTA(W251:AB251)=0,"未入力",IF(COUNTA(W251:AB251)&lt;6,"一部入力",IF(COUNTIF(AC251:AH251,0)=6,"一致","差分あり")))</f>
        <v/>
      </c>
      <c r="AJ2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1" s="19" t="inlineStr"/>
      <c r="AL251" s="18" t="inlineStr">
        <is>
          <t>2026-06-29</t>
        </is>
      </c>
    </row>
    <row r="252" ht="22" customHeight="1">
      <c r="A252" s="17" t="inlineStr">
        <is>
          <t>1003307-LB10</t>
        </is>
      </c>
      <c r="B252" s="18" t="n">
        <v>1003307</v>
      </c>
      <c r="C252" s="17" t="inlineStr">
        <is>
          <t>MTenne07</t>
        </is>
      </c>
      <c r="D252" s="17" t="inlineStr">
        <is>
          <t>MTenne</t>
        </is>
      </c>
      <c r="E252" s="17" t="inlineStr">
        <is>
          <t>天音 巫呼</t>
        </is>
      </c>
      <c r="F252" s="19" t="inlineStr">
        <is>
          <t>薄闇に結ぶ調合式</t>
        </is>
      </c>
      <c r="G252" s="18" t="inlineStr">
        <is>
          <t>S</t>
        </is>
      </c>
      <c r="H252" s="17" t="inlineStr">
        <is>
          <t>Debuffer</t>
        </is>
      </c>
      <c r="I252" s="18" t="n">
        <v>10</v>
      </c>
      <c r="J252" s="18" t="n">
        <v>10</v>
      </c>
      <c r="K252" s="18" t="n">
        <v>378</v>
      </c>
      <c r="L252" s="18" t="n">
        <v>386</v>
      </c>
      <c r="M252" s="18" t="n">
        <v>434</v>
      </c>
      <c r="N252" s="18" t="n">
        <v>419</v>
      </c>
      <c r="O252" s="18" t="n">
        <v>370</v>
      </c>
      <c r="P252" s="18" t="n">
        <v>365</v>
      </c>
      <c r="Q252" s="18" t="n">
        <v>38</v>
      </c>
      <c r="R252" s="18" t="n">
        <v>39</v>
      </c>
      <c r="S252" s="18" t="n">
        <v>44</v>
      </c>
      <c r="T252" s="18" t="n">
        <v>42</v>
      </c>
      <c r="U252" s="18" t="n">
        <v>37</v>
      </c>
      <c r="V252" s="18" t="n">
        <v>37</v>
      </c>
      <c r="W252" s="20" t="n"/>
      <c r="X252" s="20" t="n"/>
      <c r="Y252" s="20" t="n"/>
      <c r="Z252" s="20" t="n"/>
      <c r="AA252" s="20" t="n"/>
      <c r="AB252" s="20" t="n"/>
      <c r="AC252" s="21">
        <f>IF(W252="","",W252-K252)</f>
        <v/>
      </c>
      <c r="AD252" s="21">
        <f>IF(X252="","",X252-L252)</f>
        <v/>
      </c>
      <c r="AE252" s="21">
        <f>IF(Y252="","",Y252-M252)</f>
        <v/>
      </c>
      <c r="AF252" s="21">
        <f>IF(Z252="","",Z252-N252)</f>
        <v/>
      </c>
      <c r="AG252" s="21">
        <f>IF(AA252="","",AA252-O252)</f>
        <v/>
      </c>
      <c r="AH252" s="21">
        <f>IF(AB252="","",AB252-P252)</f>
        <v/>
      </c>
      <c r="AI252" s="18">
        <f>IF(COUNTA(W252:AB252)=0,"未入力",IF(COUNTA(W252:AB252)&lt;6,"一部入力",IF(COUNTIF(AC252:AH252,0)=6,"一致","差分あり")))</f>
        <v/>
      </c>
      <c r="AJ2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2" s="19" t="inlineStr"/>
      <c r="AL252" s="18" t="inlineStr">
        <is>
          <t>2026-06-29</t>
        </is>
      </c>
    </row>
    <row r="253" ht="22" customHeight="1">
      <c r="A253" s="17" t="inlineStr">
        <is>
          <t>1003401-LB0</t>
        </is>
      </c>
      <c r="B253" s="18" t="n">
        <v>1003401</v>
      </c>
      <c r="C253" s="17" t="inlineStr">
        <is>
          <t>YBungo01</t>
        </is>
      </c>
      <c r="D253" s="17" t="inlineStr">
        <is>
          <t>YBungo</t>
        </is>
      </c>
      <c r="E253" s="17" t="inlineStr">
        <is>
          <t>豊後 弥生</t>
        </is>
      </c>
      <c r="F253" s="19" t="inlineStr">
        <is>
          <t>カニ手の使い魔</t>
        </is>
      </c>
      <c r="G253" s="18" t="inlineStr">
        <is>
          <t>A</t>
        </is>
      </c>
      <c r="H253" s="17" t="inlineStr">
        <is>
          <t>Breaker</t>
        </is>
      </c>
      <c r="I253" s="18" t="n">
        <v>0</v>
      </c>
      <c r="J253" s="18" t="n">
        <v>20</v>
      </c>
      <c r="K253" s="18" t="n">
        <v>243</v>
      </c>
      <c r="L253" s="18" t="n">
        <v>304</v>
      </c>
      <c r="M253" s="18" t="n">
        <v>272</v>
      </c>
      <c r="N253" s="18" t="n">
        <v>245</v>
      </c>
      <c r="O253" s="18" t="n">
        <v>299</v>
      </c>
      <c r="P253" s="18" t="n">
        <v>275</v>
      </c>
      <c r="Q253" s="18" t="n">
        <v>25</v>
      </c>
      <c r="R253" s="18" t="n">
        <v>31</v>
      </c>
      <c r="S253" s="18" t="n">
        <v>28</v>
      </c>
      <c r="T253" s="18" t="n">
        <v>25</v>
      </c>
      <c r="U253" s="18" t="n">
        <v>30</v>
      </c>
      <c r="V253" s="18" t="n">
        <v>28</v>
      </c>
      <c r="W253" s="20" t="n"/>
      <c r="X253" s="20" t="n"/>
      <c r="Y253" s="20" t="n"/>
      <c r="Z253" s="20" t="n"/>
      <c r="AA253" s="20" t="n"/>
      <c r="AB253" s="20" t="n"/>
      <c r="AC253" s="21">
        <f>IF(W253="","",W253-K253)</f>
        <v/>
      </c>
      <c r="AD253" s="21">
        <f>IF(X253="","",X253-L253)</f>
        <v/>
      </c>
      <c r="AE253" s="21">
        <f>IF(Y253="","",Y253-M253)</f>
        <v/>
      </c>
      <c r="AF253" s="21">
        <f>IF(Z253="","",Z253-N253)</f>
        <v/>
      </c>
      <c r="AG253" s="21">
        <f>IF(AA253="","",AA253-O253)</f>
        <v/>
      </c>
      <c r="AH253" s="21">
        <f>IF(AB253="","",AB253-P253)</f>
        <v/>
      </c>
      <c r="AI253" s="18">
        <f>IF(COUNTA(W253:AB253)=0,"未入力",IF(COUNTA(W253:AB253)&lt;6,"一部入力",IF(COUNTIF(AC253:AH253,0)=6,"一致","差分あり")))</f>
        <v/>
      </c>
      <c r="AJ2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3" s="19" t="inlineStr"/>
      <c r="AL253" s="18" t="inlineStr">
        <is>
          <t>2026-06-29</t>
        </is>
      </c>
    </row>
    <row r="254" ht="22" customHeight="1">
      <c r="A254" s="17" t="inlineStr">
        <is>
          <t>1003401-LB20</t>
        </is>
      </c>
      <c r="B254" s="18" t="n">
        <v>1003401</v>
      </c>
      <c r="C254" s="17" t="inlineStr">
        <is>
          <t>YBungo01</t>
        </is>
      </c>
      <c r="D254" s="17" t="inlineStr">
        <is>
          <t>YBungo</t>
        </is>
      </c>
      <c r="E254" s="17" t="inlineStr">
        <is>
          <t>豊後 弥生</t>
        </is>
      </c>
      <c r="F254" s="19" t="inlineStr">
        <is>
          <t>カニ手の使い魔</t>
        </is>
      </c>
      <c r="G254" s="18" t="inlineStr">
        <is>
          <t>A</t>
        </is>
      </c>
      <c r="H254" s="17" t="inlineStr">
        <is>
          <t>Breaker</t>
        </is>
      </c>
      <c r="I254" s="18" t="n">
        <v>20</v>
      </c>
      <c r="J254" s="18" t="n">
        <v>20</v>
      </c>
      <c r="K254" s="18" t="n">
        <v>286</v>
      </c>
      <c r="L254" s="18" t="n">
        <v>352</v>
      </c>
      <c r="M254" s="18" t="n">
        <v>314</v>
      </c>
      <c r="N254" s="18" t="n">
        <v>289</v>
      </c>
      <c r="O254" s="18" t="n">
        <v>344</v>
      </c>
      <c r="P254" s="18" t="n">
        <v>319</v>
      </c>
      <c r="Q254" s="18" t="n">
        <v>29</v>
      </c>
      <c r="R254" s="18" t="n">
        <v>36</v>
      </c>
      <c r="S254" s="18" t="n">
        <v>32</v>
      </c>
      <c r="T254" s="18" t="n">
        <v>29</v>
      </c>
      <c r="U254" s="18" t="n">
        <v>35</v>
      </c>
      <c r="V254" s="18" t="n">
        <v>32</v>
      </c>
      <c r="W254" s="20" t="n"/>
      <c r="X254" s="20" t="n"/>
      <c r="Y254" s="20" t="n"/>
      <c r="Z254" s="20" t="n"/>
      <c r="AA254" s="20" t="n"/>
      <c r="AB254" s="20" t="n"/>
      <c r="AC254" s="21">
        <f>IF(W254="","",W254-K254)</f>
        <v/>
      </c>
      <c r="AD254" s="21">
        <f>IF(X254="","",X254-L254)</f>
        <v/>
      </c>
      <c r="AE254" s="21">
        <f>IF(Y254="","",Y254-M254)</f>
        <v/>
      </c>
      <c r="AF254" s="21">
        <f>IF(Z254="","",Z254-N254)</f>
        <v/>
      </c>
      <c r="AG254" s="21">
        <f>IF(AA254="","",AA254-O254)</f>
        <v/>
      </c>
      <c r="AH254" s="21">
        <f>IF(AB254="","",AB254-P254)</f>
        <v/>
      </c>
      <c r="AI254" s="18">
        <f>IF(COUNTA(W254:AB254)=0,"未入力",IF(COUNTA(W254:AB254)&lt;6,"一部入力",IF(COUNTIF(AC254:AH254,0)=6,"一致","差分あり")))</f>
        <v/>
      </c>
      <c r="AJ2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4" s="19" t="inlineStr"/>
      <c r="AL254" s="18" t="inlineStr">
        <is>
          <t>2026-06-29</t>
        </is>
      </c>
    </row>
    <row r="255" ht="22" customHeight="1">
      <c r="A255" s="17" t="inlineStr">
        <is>
          <t>1003402-LB0</t>
        </is>
      </c>
      <c r="B255" s="18" t="n">
        <v>1003402</v>
      </c>
      <c r="C255" s="17" t="inlineStr">
        <is>
          <t>YBungo02</t>
        </is>
      </c>
      <c r="D255" s="17" t="inlineStr">
        <is>
          <t>YBungo</t>
        </is>
      </c>
      <c r="E255" s="17" t="inlineStr">
        <is>
          <t>豊後 弥生</t>
        </is>
      </c>
      <c r="F255" s="19" t="inlineStr">
        <is>
          <t>手のひらのパーフェクション</t>
        </is>
      </c>
      <c r="G255" s="18" t="inlineStr">
        <is>
          <t>S</t>
        </is>
      </c>
      <c r="H255" s="17" t="inlineStr">
        <is>
          <t>Breaker</t>
        </is>
      </c>
      <c r="I255" s="18" t="n">
        <v>0</v>
      </c>
      <c r="J255" s="18" t="n">
        <v>10</v>
      </c>
      <c r="K255" s="18" t="n">
        <v>313</v>
      </c>
      <c r="L255" s="18" t="n">
        <v>333</v>
      </c>
      <c r="M255" s="18" t="n">
        <v>338</v>
      </c>
      <c r="N255" s="18" t="n">
        <v>348</v>
      </c>
      <c r="O255" s="18" t="n">
        <v>315</v>
      </c>
      <c r="P255" s="18" t="n">
        <v>302</v>
      </c>
      <c r="Q255" s="18" t="n">
        <v>32</v>
      </c>
      <c r="R255" s="18" t="n">
        <v>34</v>
      </c>
      <c r="S255" s="18" t="n">
        <v>34</v>
      </c>
      <c r="T255" s="18" t="n">
        <v>35</v>
      </c>
      <c r="U255" s="18" t="n">
        <v>32</v>
      </c>
      <c r="V255" s="18" t="n">
        <v>31</v>
      </c>
      <c r="W255" s="20" t="n"/>
      <c r="X255" s="20" t="n"/>
      <c r="Y255" s="20" t="n"/>
      <c r="Z255" s="20" t="n"/>
      <c r="AA255" s="20" t="n"/>
      <c r="AB255" s="20" t="n"/>
      <c r="AC255" s="21">
        <f>IF(W255="","",W255-K255)</f>
        <v/>
      </c>
      <c r="AD255" s="21">
        <f>IF(X255="","",X255-L255)</f>
        <v/>
      </c>
      <c r="AE255" s="21">
        <f>IF(Y255="","",Y255-M255)</f>
        <v/>
      </c>
      <c r="AF255" s="21">
        <f>IF(Z255="","",Z255-N255)</f>
        <v/>
      </c>
      <c r="AG255" s="21">
        <f>IF(AA255="","",AA255-O255)</f>
        <v/>
      </c>
      <c r="AH255" s="21">
        <f>IF(AB255="","",AB255-P255)</f>
        <v/>
      </c>
      <c r="AI255" s="18">
        <f>IF(COUNTA(W255:AB255)=0,"未入力",IF(COUNTA(W255:AB255)&lt;6,"一部入力",IF(COUNTIF(AC255:AH255,0)=6,"一致","差分あり")))</f>
        <v/>
      </c>
      <c r="AJ2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5" s="19" t="inlineStr"/>
      <c r="AL255" s="18" t="inlineStr">
        <is>
          <t>2026-06-29</t>
        </is>
      </c>
    </row>
    <row r="256" ht="22" customHeight="1">
      <c r="A256" s="17" t="inlineStr">
        <is>
          <t>1003402-LB10</t>
        </is>
      </c>
      <c r="B256" s="18" t="n">
        <v>1003402</v>
      </c>
      <c r="C256" s="17" t="inlineStr">
        <is>
          <t>YBungo02</t>
        </is>
      </c>
      <c r="D256" s="17" t="inlineStr">
        <is>
          <t>YBungo</t>
        </is>
      </c>
      <c r="E256" s="17" t="inlineStr">
        <is>
          <t>豊後 弥生</t>
        </is>
      </c>
      <c r="F256" s="19" t="inlineStr">
        <is>
          <t>手のひらのパーフェクション</t>
        </is>
      </c>
      <c r="G256" s="18" t="inlineStr">
        <is>
          <t>S</t>
        </is>
      </c>
      <c r="H256" s="17" t="inlineStr">
        <is>
          <t>Breaker</t>
        </is>
      </c>
      <c r="I256" s="18" t="n">
        <v>10</v>
      </c>
      <c r="J256" s="18" t="n">
        <v>10</v>
      </c>
      <c r="K256" s="18" t="n">
        <v>378</v>
      </c>
      <c r="L256" s="18" t="n">
        <v>403</v>
      </c>
      <c r="M256" s="18" t="n">
        <v>405</v>
      </c>
      <c r="N256" s="18" t="n">
        <v>414</v>
      </c>
      <c r="O256" s="18" t="n">
        <v>383</v>
      </c>
      <c r="P256" s="18" t="n">
        <v>367</v>
      </c>
      <c r="Q256" s="18" t="n">
        <v>38</v>
      </c>
      <c r="R256" s="18" t="n">
        <v>41</v>
      </c>
      <c r="S256" s="18" t="n">
        <v>41</v>
      </c>
      <c r="T256" s="18" t="n">
        <v>42</v>
      </c>
      <c r="U256" s="18" t="n">
        <v>39</v>
      </c>
      <c r="V256" s="18" t="n">
        <v>37</v>
      </c>
      <c r="W256" s="20" t="n"/>
      <c r="X256" s="20" t="n"/>
      <c r="Y256" s="20" t="n"/>
      <c r="Z256" s="20" t="n"/>
      <c r="AA256" s="20" t="n"/>
      <c r="AB256" s="20" t="n"/>
      <c r="AC256" s="21">
        <f>IF(W256="","",W256-K256)</f>
        <v/>
      </c>
      <c r="AD256" s="21">
        <f>IF(X256="","",X256-L256)</f>
        <v/>
      </c>
      <c r="AE256" s="21">
        <f>IF(Y256="","",Y256-M256)</f>
        <v/>
      </c>
      <c r="AF256" s="21">
        <f>IF(Z256="","",Z256-N256)</f>
        <v/>
      </c>
      <c r="AG256" s="21">
        <f>IF(AA256="","",AA256-O256)</f>
        <v/>
      </c>
      <c r="AH256" s="21">
        <f>IF(AB256="","",AB256-P256)</f>
        <v/>
      </c>
      <c r="AI256" s="18">
        <f>IF(COUNTA(W256:AB256)=0,"未入力",IF(COUNTA(W256:AB256)&lt;6,"一部入力",IF(COUNTIF(AC256:AH256,0)=6,"一致","差分あり")))</f>
        <v/>
      </c>
      <c r="AJ2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6" s="19" t="inlineStr"/>
      <c r="AL256" s="18" t="inlineStr">
        <is>
          <t>2026-06-29</t>
        </is>
      </c>
    </row>
    <row r="257" ht="22" customHeight="1">
      <c r="A257" s="17" t="inlineStr">
        <is>
          <t>1003403-LB0</t>
        </is>
      </c>
      <c r="B257" s="18" t="n">
        <v>1003403</v>
      </c>
      <c r="C257" s="17" t="inlineStr">
        <is>
          <t>YBungo03</t>
        </is>
      </c>
      <c r="D257" s="17" t="inlineStr">
        <is>
          <t>YBungo</t>
        </is>
      </c>
      <c r="E257" s="17" t="inlineStr">
        <is>
          <t>豊後 弥生</t>
        </is>
      </c>
      <c r="F257" s="19" t="inlineStr">
        <is>
          <t>夜空のShining Star</t>
        </is>
      </c>
      <c r="G257" s="18" t="inlineStr">
        <is>
          <t>SS</t>
        </is>
      </c>
      <c r="H257" s="17" t="inlineStr">
        <is>
          <t>Breaker</t>
        </is>
      </c>
      <c r="I257" s="18" t="n">
        <v>0</v>
      </c>
      <c r="J257" s="18" t="n">
        <v>4</v>
      </c>
      <c r="K257" s="18" t="n">
        <v>407</v>
      </c>
      <c r="L257" s="18" t="n">
        <v>359</v>
      </c>
      <c r="M257" s="18" t="n">
        <v>355</v>
      </c>
      <c r="N257" s="18" t="n">
        <v>375</v>
      </c>
      <c r="O257" s="18" t="n">
        <v>388</v>
      </c>
      <c r="P257" s="18" t="n">
        <v>385</v>
      </c>
      <c r="Q257" s="18" t="n">
        <v>41</v>
      </c>
      <c r="R257" s="18" t="n">
        <v>36</v>
      </c>
      <c r="S257" s="18" t="n">
        <v>36</v>
      </c>
      <c r="T257" s="18" t="n">
        <v>38</v>
      </c>
      <c r="U257" s="18" t="n">
        <v>39</v>
      </c>
      <c r="V257" s="18" t="n">
        <v>39</v>
      </c>
      <c r="W257" s="20" t="n"/>
      <c r="X257" s="20" t="n"/>
      <c r="Y257" s="20" t="n"/>
      <c r="Z257" s="20" t="n"/>
      <c r="AA257" s="20" t="n"/>
      <c r="AB257" s="20" t="n"/>
      <c r="AC257" s="21">
        <f>IF(W257="","",W257-K257)</f>
        <v/>
      </c>
      <c r="AD257" s="21">
        <f>IF(X257="","",X257-L257)</f>
        <v/>
      </c>
      <c r="AE257" s="21">
        <f>IF(Y257="","",Y257-M257)</f>
        <v/>
      </c>
      <c r="AF257" s="21">
        <f>IF(Z257="","",Z257-N257)</f>
        <v/>
      </c>
      <c r="AG257" s="21">
        <f>IF(AA257="","",AA257-O257)</f>
        <v/>
      </c>
      <c r="AH257" s="21">
        <f>IF(AB257="","",AB257-P257)</f>
        <v/>
      </c>
      <c r="AI257" s="18">
        <f>IF(COUNTA(W257:AB257)=0,"未入力",IF(COUNTA(W257:AB257)&lt;6,"一部入力",IF(COUNTIF(AC257:AH257,0)=6,"一致","差分あり")))</f>
        <v/>
      </c>
      <c r="AJ2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7" s="19" t="inlineStr"/>
      <c r="AL257" s="18" t="inlineStr">
        <is>
          <t>2026-06-29</t>
        </is>
      </c>
    </row>
    <row r="258" ht="22" customHeight="1">
      <c r="A258" s="17" t="inlineStr">
        <is>
          <t>1003403-LB4</t>
        </is>
      </c>
      <c r="B258" s="18" t="n">
        <v>1003403</v>
      </c>
      <c r="C258" s="17" t="inlineStr">
        <is>
          <t>YBungo03</t>
        </is>
      </c>
      <c r="D258" s="17" t="inlineStr">
        <is>
          <t>YBungo</t>
        </is>
      </c>
      <c r="E258" s="17" t="inlineStr">
        <is>
          <t>豊後 弥生</t>
        </is>
      </c>
      <c r="F258" s="19" t="inlineStr">
        <is>
          <t>夜空のShining Star</t>
        </is>
      </c>
      <c r="G258" s="18" t="inlineStr">
        <is>
          <t>SS</t>
        </is>
      </c>
      <c r="H258" s="17" t="inlineStr">
        <is>
          <t>Breaker</t>
        </is>
      </c>
      <c r="I258" s="18" t="n">
        <v>4</v>
      </c>
      <c r="J258" s="18" t="n">
        <v>4</v>
      </c>
      <c r="K258" s="18" t="n">
        <v>493</v>
      </c>
      <c r="L258" s="18" t="n">
        <v>451</v>
      </c>
      <c r="M258" s="18" t="n">
        <v>440</v>
      </c>
      <c r="N258" s="18" t="n">
        <v>463</v>
      </c>
      <c r="O258" s="18" t="n">
        <v>478</v>
      </c>
      <c r="P258" s="18" t="n">
        <v>471</v>
      </c>
      <c r="Q258" s="18" t="n">
        <v>50</v>
      </c>
      <c r="R258" s="18" t="n">
        <v>46</v>
      </c>
      <c r="S258" s="18" t="n">
        <v>44</v>
      </c>
      <c r="T258" s="18" t="n">
        <v>47</v>
      </c>
      <c r="U258" s="18" t="n">
        <v>48</v>
      </c>
      <c r="V258" s="18" t="n">
        <v>48</v>
      </c>
      <c r="W258" s="20" t="n"/>
      <c r="X258" s="20" t="n"/>
      <c r="Y258" s="20" t="n"/>
      <c r="Z258" s="20" t="n"/>
      <c r="AA258" s="20" t="n"/>
      <c r="AB258" s="20" t="n"/>
      <c r="AC258" s="21">
        <f>IF(W258="","",W258-K258)</f>
        <v/>
      </c>
      <c r="AD258" s="21">
        <f>IF(X258="","",X258-L258)</f>
        <v/>
      </c>
      <c r="AE258" s="21">
        <f>IF(Y258="","",Y258-M258)</f>
        <v/>
      </c>
      <c r="AF258" s="21">
        <f>IF(Z258="","",Z258-N258)</f>
        <v/>
      </c>
      <c r="AG258" s="21">
        <f>IF(AA258="","",AA258-O258)</f>
        <v/>
      </c>
      <c r="AH258" s="21">
        <f>IF(AB258="","",AB258-P258)</f>
        <v/>
      </c>
      <c r="AI258" s="18">
        <f>IF(COUNTA(W258:AB258)=0,"未入力",IF(COUNTA(W258:AB258)&lt;6,"一部入力",IF(COUNTIF(AC258:AH258,0)=6,"一致","差分あり")))</f>
        <v/>
      </c>
      <c r="AJ2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8" s="19" t="inlineStr"/>
      <c r="AL258" s="18" t="inlineStr">
        <is>
          <t>2026-06-29</t>
        </is>
      </c>
    </row>
    <row r="259" ht="22" customHeight="1">
      <c r="A259" s="17" t="inlineStr">
        <is>
          <t>1003404-LB0</t>
        </is>
      </c>
      <c r="B259" s="18" t="n">
        <v>1003404</v>
      </c>
      <c r="C259" s="17" t="inlineStr">
        <is>
          <t>YBungo04</t>
        </is>
      </c>
      <c r="D259" s="17" t="inlineStr">
        <is>
          <t>YBungo</t>
        </is>
      </c>
      <c r="E259" s="17" t="inlineStr">
        <is>
          <t>豊後 弥生</t>
        </is>
      </c>
      <c r="F259" s="19" t="inlineStr">
        <is>
          <t>Happy Legion</t>
        </is>
      </c>
      <c r="G259" s="18" t="inlineStr">
        <is>
          <t>SS</t>
        </is>
      </c>
      <c r="H259" s="17" t="inlineStr">
        <is>
          <t>Breaker</t>
        </is>
      </c>
      <c r="I259" s="18" t="n">
        <v>0</v>
      </c>
      <c r="J259" s="18" t="n">
        <v>4</v>
      </c>
      <c r="K259" s="18" t="n">
        <v>359</v>
      </c>
      <c r="L259" s="18" t="n">
        <v>455</v>
      </c>
      <c r="M259" s="18" t="n">
        <v>389</v>
      </c>
      <c r="N259" s="18" t="n">
        <v>384</v>
      </c>
      <c r="O259" s="18" t="n">
        <v>424</v>
      </c>
      <c r="P259" s="18" t="n">
        <v>394</v>
      </c>
      <c r="Q259" s="18" t="n">
        <v>36</v>
      </c>
      <c r="R259" s="18" t="n">
        <v>46</v>
      </c>
      <c r="S259" s="18" t="n">
        <v>39</v>
      </c>
      <c r="T259" s="18" t="n">
        <v>39</v>
      </c>
      <c r="U259" s="18" t="n">
        <v>43</v>
      </c>
      <c r="V259" s="18" t="n">
        <v>40</v>
      </c>
      <c r="W259" s="20" t="n"/>
      <c r="X259" s="20" t="n"/>
      <c r="Y259" s="20" t="n"/>
      <c r="Z259" s="20" t="n"/>
      <c r="AA259" s="20" t="n"/>
      <c r="AB259" s="20" t="n"/>
      <c r="AC259" s="21">
        <f>IF(W259="","",W259-K259)</f>
        <v/>
      </c>
      <c r="AD259" s="21">
        <f>IF(X259="","",X259-L259)</f>
        <v/>
      </c>
      <c r="AE259" s="21">
        <f>IF(Y259="","",Y259-M259)</f>
        <v/>
      </c>
      <c r="AF259" s="21">
        <f>IF(Z259="","",Z259-N259)</f>
        <v/>
      </c>
      <c r="AG259" s="21">
        <f>IF(AA259="","",AA259-O259)</f>
        <v/>
      </c>
      <c r="AH259" s="21">
        <f>IF(AB259="","",AB259-P259)</f>
        <v/>
      </c>
      <c r="AI259" s="18">
        <f>IF(COUNTA(W259:AB259)=0,"未入力",IF(COUNTA(W259:AB259)&lt;6,"一部入力",IF(COUNTIF(AC259:AH259,0)=6,"一致","差分あり")))</f>
        <v/>
      </c>
      <c r="AJ2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59" s="19" t="inlineStr"/>
      <c r="AL259" s="18" t="inlineStr">
        <is>
          <t>2026-06-29</t>
        </is>
      </c>
    </row>
    <row r="260" ht="22" customHeight="1">
      <c r="A260" s="17" t="inlineStr">
        <is>
          <t>1003404-LB4</t>
        </is>
      </c>
      <c r="B260" s="18" t="n">
        <v>1003404</v>
      </c>
      <c r="C260" s="17" t="inlineStr">
        <is>
          <t>YBungo04</t>
        </is>
      </c>
      <c r="D260" s="17" t="inlineStr">
        <is>
          <t>YBungo</t>
        </is>
      </c>
      <c r="E260" s="17" t="inlineStr">
        <is>
          <t>豊後 弥生</t>
        </is>
      </c>
      <c r="F260" s="19" t="inlineStr">
        <is>
          <t>Happy Legion</t>
        </is>
      </c>
      <c r="G260" s="18" t="inlineStr">
        <is>
          <t>SS</t>
        </is>
      </c>
      <c r="H260" s="17" t="inlineStr">
        <is>
          <t>Breaker</t>
        </is>
      </c>
      <c r="I260" s="18" t="n">
        <v>4</v>
      </c>
      <c r="J260" s="18" t="n">
        <v>4</v>
      </c>
      <c r="K260" s="18" t="n">
        <v>446</v>
      </c>
      <c r="L260" s="18" t="n">
        <v>548</v>
      </c>
      <c r="M260" s="18" t="n">
        <v>474</v>
      </c>
      <c r="N260" s="18" t="n">
        <v>471</v>
      </c>
      <c r="O260" s="18" t="n">
        <v>514</v>
      </c>
      <c r="P260" s="18" t="n">
        <v>480</v>
      </c>
      <c r="Q260" s="18" t="n">
        <v>45</v>
      </c>
      <c r="R260" s="18" t="n">
        <v>55</v>
      </c>
      <c r="S260" s="18" t="n">
        <v>48</v>
      </c>
      <c r="T260" s="18" t="n">
        <v>48</v>
      </c>
      <c r="U260" s="18" t="n">
        <v>52</v>
      </c>
      <c r="V260" s="18" t="n">
        <v>48</v>
      </c>
      <c r="W260" s="20" t="n"/>
      <c r="X260" s="20" t="n"/>
      <c r="Y260" s="20" t="n"/>
      <c r="Z260" s="20" t="n"/>
      <c r="AA260" s="20" t="n"/>
      <c r="AB260" s="20" t="n"/>
      <c r="AC260" s="21">
        <f>IF(W260="","",W260-K260)</f>
        <v/>
      </c>
      <c r="AD260" s="21">
        <f>IF(X260="","",X260-L260)</f>
        <v/>
      </c>
      <c r="AE260" s="21">
        <f>IF(Y260="","",Y260-M260)</f>
        <v/>
      </c>
      <c r="AF260" s="21">
        <f>IF(Z260="","",Z260-N260)</f>
        <v/>
      </c>
      <c r="AG260" s="21">
        <f>IF(AA260="","",AA260-O260)</f>
        <v/>
      </c>
      <c r="AH260" s="21">
        <f>IF(AB260="","",AB260-P260)</f>
        <v/>
      </c>
      <c r="AI260" s="18">
        <f>IF(COUNTA(W260:AB260)=0,"未入力",IF(COUNTA(W260:AB260)&lt;6,"一部入力",IF(COUNTIF(AC260:AH260,0)=6,"一致","差分あり")))</f>
        <v/>
      </c>
      <c r="AJ2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0" s="19" t="inlineStr"/>
      <c r="AL260" s="18" t="inlineStr">
        <is>
          <t>2026-06-29</t>
        </is>
      </c>
    </row>
    <row r="261" ht="22" customHeight="1">
      <c r="A261" s="17" t="inlineStr">
        <is>
          <t>1003405-LB0</t>
        </is>
      </c>
      <c r="B261" s="18" t="n">
        <v>1003405</v>
      </c>
      <c r="C261" s="17" t="inlineStr">
        <is>
          <t>YBungo05</t>
        </is>
      </c>
      <c r="D261" s="17" t="inlineStr">
        <is>
          <t>YBungo</t>
        </is>
      </c>
      <c r="E261" s="17" t="inlineStr">
        <is>
          <t>豊後 弥生</t>
        </is>
      </c>
      <c r="F261" s="19" t="inlineStr">
        <is>
          <t>お花見怪人クシダンゴ</t>
        </is>
      </c>
      <c r="G261" s="18" t="inlineStr">
        <is>
          <t>SS</t>
        </is>
      </c>
      <c r="H261" s="17" t="inlineStr">
        <is>
          <t>Breaker</t>
        </is>
      </c>
      <c r="I261" s="18" t="n">
        <v>0</v>
      </c>
      <c r="J261" s="18" t="n">
        <v>4</v>
      </c>
      <c r="K261" s="18" t="n">
        <v>359</v>
      </c>
      <c r="L261" s="18" t="n">
        <v>455</v>
      </c>
      <c r="M261" s="18" t="n">
        <v>389</v>
      </c>
      <c r="N261" s="18" t="n">
        <v>384</v>
      </c>
      <c r="O261" s="18" t="n">
        <v>424</v>
      </c>
      <c r="P261" s="18" t="n">
        <v>394</v>
      </c>
      <c r="Q261" s="18" t="n">
        <v>36</v>
      </c>
      <c r="R261" s="18" t="n">
        <v>46</v>
      </c>
      <c r="S261" s="18" t="n">
        <v>39</v>
      </c>
      <c r="T261" s="18" t="n">
        <v>39</v>
      </c>
      <c r="U261" s="18" t="n">
        <v>43</v>
      </c>
      <c r="V261" s="18" t="n">
        <v>40</v>
      </c>
      <c r="W261" s="20" t="n"/>
      <c r="X261" s="20" t="n"/>
      <c r="Y261" s="20" t="n"/>
      <c r="Z261" s="20" t="n"/>
      <c r="AA261" s="20" t="n"/>
      <c r="AB261" s="20" t="n"/>
      <c r="AC261" s="21">
        <f>IF(W261="","",W261-K261)</f>
        <v/>
      </c>
      <c r="AD261" s="21">
        <f>IF(X261="","",X261-L261)</f>
        <v/>
      </c>
      <c r="AE261" s="21">
        <f>IF(Y261="","",Y261-M261)</f>
        <v/>
      </c>
      <c r="AF261" s="21">
        <f>IF(Z261="","",Z261-N261)</f>
        <v/>
      </c>
      <c r="AG261" s="21">
        <f>IF(AA261="","",AA261-O261)</f>
        <v/>
      </c>
      <c r="AH261" s="21">
        <f>IF(AB261="","",AB261-P261)</f>
        <v/>
      </c>
      <c r="AI261" s="18">
        <f>IF(COUNTA(W261:AB261)=0,"未入力",IF(COUNTA(W261:AB261)&lt;6,"一部入力",IF(COUNTIF(AC261:AH261,0)=6,"一致","差分あり")))</f>
        <v/>
      </c>
      <c r="AJ2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1" s="19" t="inlineStr"/>
      <c r="AL261" s="18" t="inlineStr">
        <is>
          <t>2026-06-29</t>
        </is>
      </c>
    </row>
    <row r="262" ht="22" customHeight="1">
      <c r="A262" s="17" t="inlineStr">
        <is>
          <t>1003405-LB4</t>
        </is>
      </c>
      <c r="B262" s="18" t="n">
        <v>1003405</v>
      </c>
      <c r="C262" s="17" t="inlineStr">
        <is>
          <t>YBungo05</t>
        </is>
      </c>
      <c r="D262" s="17" t="inlineStr">
        <is>
          <t>YBungo</t>
        </is>
      </c>
      <c r="E262" s="17" t="inlineStr">
        <is>
          <t>豊後 弥生</t>
        </is>
      </c>
      <c r="F262" s="19" t="inlineStr">
        <is>
          <t>お花見怪人クシダンゴ</t>
        </is>
      </c>
      <c r="G262" s="18" t="inlineStr">
        <is>
          <t>SS</t>
        </is>
      </c>
      <c r="H262" s="17" t="inlineStr">
        <is>
          <t>Breaker</t>
        </is>
      </c>
      <c r="I262" s="18" t="n">
        <v>4</v>
      </c>
      <c r="J262" s="18" t="n">
        <v>4</v>
      </c>
      <c r="K262" s="18" t="n">
        <v>446</v>
      </c>
      <c r="L262" s="18" t="n">
        <v>548</v>
      </c>
      <c r="M262" s="18" t="n">
        <v>474</v>
      </c>
      <c r="N262" s="18" t="n">
        <v>471</v>
      </c>
      <c r="O262" s="18" t="n">
        <v>514</v>
      </c>
      <c r="P262" s="18" t="n">
        <v>480</v>
      </c>
      <c r="Q262" s="18" t="n">
        <v>45</v>
      </c>
      <c r="R262" s="18" t="n">
        <v>55</v>
      </c>
      <c r="S262" s="18" t="n">
        <v>48</v>
      </c>
      <c r="T262" s="18" t="n">
        <v>48</v>
      </c>
      <c r="U262" s="18" t="n">
        <v>52</v>
      </c>
      <c r="V262" s="18" t="n">
        <v>48</v>
      </c>
      <c r="W262" s="20" t="n"/>
      <c r="X262" s="20" t="n"/>
      <c r="Y262" s="20" t="n"/>
      <c r="Z262" s="20" t="n"/>
      <c r="AA262" s="20" t="n"/>
      <c r="AB262" s="20" t="n"/>
      <c r="AC262" s="21">
        <f>IF(W262="","",W262-K262)</f>
        <v/>
      </c>
      <c r="AD262" s="21">
        <f>IF(X262="","",X262-L262)</f>
        <v/>
      </c>
      <c r="AE262" s="21">
        <f>IF(Y262="","",Y262-M262)</f>
        <v/>
      </c>
      <c r="AF262" s="21">
        <f>IF(Z262="","",Z262-N262)</f>
        <v/>
      </c>
      <c r="AG262" s="21">
        <f>IF(AA262="","",AA262-O262)</f>
        <v/>
      </c>
      <c r="AH262" s="21">
        <f>IF(AB262="","",AB262-P262)</f>
        <v/>
      </c>
      <c r="AI262" s="18">
        <f>IF(COUNTA(W262:AB262)=0,"未入力",IF(COUNTA(W262:AB262)&lt;6,"一部入力",IF(COUNTIF(AC262:AH262,0)=6,"一致","差分あり")))</f>
        <v/>
      </c>
      <c r="AJ2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2" s="19" t="inlineStr"/>
      <c r="AL262" s="18" t="inlineStr">
        <is>
          <t>2026-06-29</t>
        </is>
      </c>
    </row>
    <row r="263" ht="22" customHeight="1">
      <c r="A263" s="17" t="inlineStr">
        <is>
          <t>1003406-LB0</t>
        </is>
      </c>
      <c r="B263" s="18" t="n">
        <v>1003406</v>
      </c>
      <c r="C263" s="17" t="inlineStr">
        <is>
          <t>YBungo06</t>
        </is>
      </c>
      <c r="D263" s="17" t="inlineStr">
        <is>
          <t>YBungo</t>
        </is>
      </c>
      <c r="E263" s="17" t="inlineStr">
        <is>
          <t>豊後 弥生</t>
        </is>
      </c>
      <c r="F263" s="19" t="inlineStr">
        <is>
          <t>悪の軍団進軍開始でゲス！</t>
        </is>
      </c>
      <c r="G263" s="18" t="inlineStr">
        <is>
          <t>SSR</t>
        </is>
      </c>
      <c r="H263" s="17" t="inlineStr">
        <is>
          <t>Breaker</t>
        </is>
      </c>
      <c r="I263" s="18" t="n">
        <v>0</v>
      </c>
      <c r="J263" s="18" t="n">
        <v>4</v>
      </c>
      <c r="K263" s="18" t="n">
        <v>359</v>
      </c>
      <c r="L263" s="18" t="n">
        <v>455</v>
      </c>
      <c r="M263" s="18" t="n">
        <v>389</v>
      </c>
      <c r="N263" s="18" t="n">
        <v>384</v>
      </c>
      <c r="O263" s="18" t="n">
        <v>424</v>
      </c>
      <c r="P263" s="18" t="n">
        <v>394</v>
      </c>
      <c r="Q263" s="18" t="n">
        <v>36</v>
      </c>
      <c r="R263" s="18" t="n">
        <v>46</v>
      </c>
      <c r="S263" s="18" t="n">
        <v>39</v>
      </c>
      <c r="T263" s="18" t="n">
        <v>39</v>
      </c>
      <c r="U263" s="18" t="n">
        <v>43</v>
      </c>
      <c r="V263" s="18" t="n">
        <v>40</v>
      </c>
      <c r="W263" s="20" t="n"/>
      <c r="X263" s="20" t="n"/>
      <c r="Y263" s="20" t="n"/>
      <c r="Z263" s="20" t="n"/>
      <c r="AA263" s="20" t="n"/>
      <c r="AB263" s="20" t="n"/>
      <c r="AC263" s="21">
        <f>IF(W263="","",W263-K263)</f>
        <v/>
      </c>
      <c r="AD263" s="21">
        <f>IF(X263="","",X263-L263)</f>
        <v/>
      </c>
      <c r="AE263" s="21">
        <f>IF(Y263="","",Y263-M263)</f>
        <v/>
      </c>
      <c r="AF263" s="21">
        <f>IF(Z263="","",Z263-N263)</f>
        <v/>
      </c>
      <c r="AG263" s="21">
        <f>IF(AA263="","",AA263-O263)</f>
        <v/>
      </c>
      <c r="AH263" s="21">
        <f>IF(AB263="","",AB263-P263)</f>
        <v/>
      </c>
      <c r="AI263" s="18">
        <f>IF(COUNTA(W263:AB263)=0,"未入力",IF(COUNTA(W263:AB263)&lt;6,"一部入力",IF(COUNTIF(AC263:AH263,0)=6,"一致","差分あり")))</f>
        <v/>
      </c>
      <c r="AJ2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3" s="19" t="inlineStr"/>
      <c r="AL263" s="18" t="inlineStr">
        <is>
          <t>2026-06-29</t>
        </is>
      </c>
    </row>
    <row r="264" ht="22" customHeight="1">
      <c r="A264" s="17" t="inlineStr">
        <is>
          <t>1003406-LB4</t>
        </is>
      </c>
      <c r="B264" s="18" t="n">
        <v>1003406</v>
      </c>
      <c r="C264" s="17" t="inlineStr">
        <is>
          <t>YBungo06</t>
        </is>
      </c>
      <c r="D264" s="17" t="inlineStr">
        <is>
          <t>YBungo</t>
        </is>
      </c>
      <c r="E264" s="17" t="inlineStr">
        <is>
          <t>豊後 弥生</t>
        </is>
      </c>
      <c r="F264" s="19" t="inlineStr">
        <is>
          <t>悪の軍団進軍開始でゲス！</t>
        </is>
      </c>
      <c r="G264" s="18" t="inlineStr">
        <is>
          <t>SSR</t>
        </is>
      </c>
      <c r="H264" s="17" t="inlineStr">
        <is>
          <t>Breaker</t>
        </is>
      </c>
      <c r="I264" s="18" t="n">
        <v>4</v>
      </c>
      <c r="J264" s="18" t="n">
        <v>4</v>
      </c>
      <c r="K264" s="18" t="n">
        <v>446</v>
      </c>
      <c r="L264" s="18" t="n">
        <v>548</v>
      </c>
      <c r="M264" s="18" t="n">
        <v>474</v>
      </c>
      <c r="N264" s="18" t="n">
        <v>471</v>
      </c>
      <c r="O264" s="18" t="n">
        <v>514</v>
      </c>
      <c r="P264" s="18" t="n">
        <v>480</v>
      </c>
      <c r="Q264" s="18" t="n">
        <v>45</v>
      </c>
      <c r="R264" s="18" t="n">
        <v>55</v>
      </c>
      <c r="S264" s="18" t="n">
        <v>48</v>
      </c>
      <c r="T264" s="18" t="n">
        <v>48</v>
      </c>
      <c r="U264" s="18" t="n">
        <v>52</v>
      </c>
      <c r="V264" s="18" t="n">
        <v>48</v>
      </c>
      <c r="W264" s="20" t="n"/>
      <c r="X264" s="20" t="n"/>
      <c r="Y264" s="20" t="n"/>
      <c r="Z264" s="20" t="n"/>
      <c r="AA264" s="20" t="n"/>
      <c r="AB264" s="20" t="n"/>
      <c r="AC264" s="21">
        <f>IF(W264="","",W264-K264)</f>
        <v/>
      </c>
      <c r="AD264" s="21">
        <f>IF(X264="","",X264-L264)</f>
        <v/>
      </c>
      <c r="AE264" s="21">
        <f>IF(Y264="","",Y264-M264)</f>
        <v/>
      </c>
      <c r="AF264" s="21">
        <f>IF(Z264="","",Z264-N264)</f>
        <v/>
      </c>
      <c r="AG264" s="21">
        <f>IF(AA264="","",AA264-O264)</f>
        <v/>
      </c>
      <c r="AH264" s="21">
        <f>IF(AB264="","",AB264-P264)</f>
        <v/>
      </c>
      <c r="AI264" s="18">
        <f>IF(COUNTA(W264:AB264)=0,"未入力",IF(COUNTA(W264:AB264)&lt;6,"一部入力",IF(COUNTIF(AC264:AH264,0)=6,"一致","差分あり")))</f>
        <v/>
      </c>
      <c r="AJ2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4" s="19" t="inlineStr"/>
      <c r="AL264" s="18" t="inlineStr">
        <is>
          <t>2026-06-29</t>
        </is>
      </c>
    </row>
    <row r="265" ht="22" customHeight="1">
      <c r="A265" s="17" t="inlineStr">
        <is>
          <t>1003407-LB0</t>
        </is>
      </c>
      <c r="B265" s="18" t="n">
        <v>1003407</v>
      </c>
      <c r="C265" s="17" t="inlineStr">
        <is>
          <t>YBungo07</t>
        </is>
      </c>
      <c r="D265" s="17" t="inlineStr">
        <is>
          <t>YBungo</t>
        </is>
      </c>
      <c r="E265" s="17" t="inlineStr">
        <is>
          <t>豊後 弥生</t>
        </is>
      </c>
      <c r="F265" s="19" t="inlineStr">
        <is>
          <t>あちきと愉快な仲間たち</t>
        </is>
      </c>
      <c r="G265" s="18" t="inlineStr">
        <is>
          <t>S</t>
        </is>
      </c>
      <c r="H265" s="17" t="inlineStr">
        <is>
          <t>Breaker</t>
        </is>
      </c>
      <c r="I265" s="18" t="n">
        <v>0</v>
      </c>
      <c r="J265" s="18" t="n">
        <v>10</v>
      </c>
      <c r="K265" s="18" t="n">
        <v>302</v>
      </c>
      <c r="L265" s="18" t="n">
        <v>368</v>
      </c>
      <c r="M265" s="18" t="n">
        <v>309</v>
      </c>
      <c r="N265" s="18" t="n">
        <v>305</v>
      </c>
      <c r="O265" s="18" t="n">
        <v>360</v>
      </c>
      <c r="P265" s="18" t="n">
        <v>313</v>
      </c>
      <c r="Q265" s="18" t="n">
        <v>31</v>
      </c>
      <c r="R265" s="18" t="n">
        <v>37</v>
      </c>
      <c r="S265" s="18" t="n">
        <v>31</v>
      </c>
      <c r="T265" s="18" t="n">
        <v>31</v>
      </c>
      <c r="U265" s="18" t="n">
        <v>36</v>
      </c>
      <c r="V265" s="18" t="n">
        <v>32</v>
      </c>
      <c r="W265" s="20" t="n"/>
      <c r="X265" s="20" t="n"/>
      <c r="Y265" s="20" t="n"/>
      <c r="Z265" s="20" t="n"/>
      <c r="AA265" s="20" t="n"/>
      <c r="AB265" s="20" t="n"/>
      <c r="AC265" s="21">
        <f>IF(W265="","",W265-K265)</f>
        <v/>
      </c>
      <c r="AD265" s="21">
        <f>IF(X265="","",X265-L265)</f>
        <v/>
      </c>
      <c r="AE265" s="21">
        <f>IF(Y265="","",Y265-M265)</f>
        <v/>
      </c>
      <c r="AF265" s="21">
        <f>IF(Z265="","",Z265-N265)</f>
        <v/>
      </c>
      <c r="AG265" s="21">
        <f>IF(AA265="","",AA265-O265)</f>
        <v/>
      </c>
      <c r="AH265" s="21">
        <f>IF(AB265="","",AB265-P265)</f>
        <v/>
      </c>
      <c r="AI265" s="18">
        <f>IF(COUNTA(W265:AB265)=0,"未入力",IF(COUNTA(W265:AB265)&lt;6,"一部入力",IF(COUNTIF(AC265:AH265,0)=6,"一致","差分あり")))</f>
        <v/>
      </c>
      <c r="AJ2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5" s="19" t="inlineStr"/>
      <c r="AL265" s="18" t="inlineStr">
        <is>
          <t>2026-06-29</t>
        </is>
      </c>
    </row>
    <row r="266" ht="22" customHeight="1">
      <c r="A266" s="17" t="inlineStr">
        <is>
          <t>1003407-LB10</t>
        </is>
      </c>
      <c r="B266" s="18" t="n">
        <v>1003407</v>
      </c>
      <c r="C266" s="17" t="inlineStr">
        <is>
          <t>YBungo07</t>
        </is>
      </c>
      <c r="D266" s="17" t="inlineStr">
        <is>
          <t>YBungo</t>
        </is>
      </c>
      <c r="E266" s="17" t="inlineStr">
        <is>
          <t>豊後 弥生</t>
        </is>
      </c>
      <c r="F266" s="19" t="inlineStr">
        <is>
          <t>あちきと愉快な仲間たち</t>
        </is>
      </c>
      <c r="G266" s="18" t="inlineStr">
        <is>
          <t>S</t>
        </is>
      </c>
      <c r="H266" s="17" t="inlineStr">
        <is>
          <t>Breaker</t>
        </is>
      </c>
      <c r="I266" s="18" t="n">
        <v>10</v>
      </c>
      <c r="J266" s="18" t="n">
        <v>10</v>
      </c>
      <c r="K266" s="18" t="n">
        <v>367</v>
      </c>
      <c r="L266" s="18" t="n">
        <v>437</v>
      </c>
      <c r="M266" s="18" t="n">
        <v>373</v>
      </c>
      <c r="N266" s="18" t="n">
        <v>370</v>
      </c>
      <c r="O266" s="18" t="n">
        <v>428</v>
      </c>
      <c r="P266" s="18" t="n">
        <v>378</v>
      </c>
      <c r="Q266" s="18" t="n">
        <v>37</v>
      </c>
      <c r="R266" s="18" t="n">
        <v>44</v>
      </c>
      <c r="S266" s="18" t="n">
        <v>38</v>
      </c>
      <c r="T266" s="18" t="n">
        <v>37</v>
      </c>
      <c r="U266" s="18" t="n">
        <v>43</v>
      </c>
      <c r="V266" s="18" t="n">
        <v>38</v>
      </c>
      <c r="W266" s="20" t="n"/>
      <c r="X266" s="20" t="n"/>
      <c r="Y266" s="20" t="n"/>
      <c r="Z266" s="20" t="n"/>
      <c r="AA266" s="20" t="n"/>
      <c r="AB266" s="20" t="n"/>
      <c r="AC266" s="21">
        <f>IF(W266="","",W266-K266)</f>
        <v/>
      </c>
      <c r="AD266" s="21">
        <f>IF(X266="","",X266-L266)</f>
        <v/>
      </c>
      <c r="AE266" s="21">
        <f>IF(Y266="","",Y266-M266)</f>
        <v/>
      </c>
      <c r="AF266" s="21">
        <f>IF(Z266="","",Z266-N266)</f>
        <v/>
      </c>
      <c r="AG266" s="21">
        <f>IF(AA266="","",AA266-O266)</f>
        <v/>
      </c>
      <c r="AH266" s="21">
        <f>IF(AB266="","",AB266-P266)</f>
        <v/>
      </c>
      <c r="AI266" s="18">
        <f>IF(COUNTA(W266:AB266)=0,"未入力",IF(COUNTA(W266:AB266)&lt;6,"一部入力",IF(COUNTIF(AC266:AH266,0)=6,"一致","差分あり")))</f>
        <v/>
      </c>
      <c r="AJ2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6" s="19" t="inlineStr"/>
      <c r="AL266" s="18" t="inlineStr">
        <is>
          <t>2026-06-29</t>
        </is>
      </c>
    </row>
    <row r="267" ht="22" customHeight="1">
      <c r="A267" s="17" t="inlineStr">
        <is>
          <t>1003501-LB0</t>
        </is>
      </c>
      <c r="B267" s="18" t="n">
        <v>1003501</v>
      </c>
      <c r="C267" s="17" t="inlineStr">
        <is>
          <t>AKanzaki01</t>
        </is>
      </c>
      <c r="D267" s="17" t="inlineStr">
        <is>
          <t>AKanzaki</t>
        </is>
      </c>
      <c r="E267" s="17" t="inlineStr">
        <is>
          <t>神崎 アーデルハイド</t>
        </is>
      </c>
      <c r="F267" s="19" t="inlineStr">
        <is>
          <t>碧落の忍び</t>
        </is>
      </c>
      <c r="G267" s="18" t="inlineStr">
        <is>
          <t>A</t>
        </is>
      </c>
      <c r="H267" s="17" t="inlineStr">
        <is>
          <t>Blaster</t>
        </is>
      </c>
      <c r="I267" s="18" t="n">
        <v>0</v>
      </c>
      <c r="J267" s="18" t="n">
        <v>20</v>
      </c>
      <c r="K267" s="18" t="n">
        <v>290</v>
      </c>
      <c r="L267" s="18" t="n">
        <v>277</v>
      </c>
      <c r="M267" s="18" t="n">
        <v>288</v>
      </c>
      <c r="N267" s="18" t="n">
        <v>289</v>
      </c>
      <c r="O267" s="18" t="n">
        <v>242</v>
      </c>
      <c r="P267" s="18" t="n">
        <v>252</v>
      </c>
      <c r="Q267" s="18" t="n">
        <v>29</v>
      </c>
      <c r="R267" s="18" t="n">
        <v>28</v>
      </c>
      <c r="S267" s="18" t="n">
        <v>29</v>
      </c>
      <c r="T267" s="18" t="n">
        <v>29</v>
      </c>
      <c r="U267" s="18" t="n">
        <v>25</v>
      </c>
      <c r="V267" s="18" t="n">
        <v>26</v>
      </c>
      <c r="W267" s="20" t="n"/>
      <c r="X267" s="20" t="n"/>
      <c r="Y267" s="20" t="n"/>
      <c r="Z267" s="20" t="n"/>
      <c r="AA267" s="20" t="n"/>
      <c r="AB267" s="20" t="n"/>
      <c r="AC267" s="21">
        <f>IF(W267="","",W267-K267)</f>
        <v/>
      </c>
      <c r="AD267" s="21">
        <f>IF(X267="","",X267-L267)</f>
        <v/>
      </c>
      <c r="AE267" s="21">
        <f>IF(Y267="","",Y267-M267)</f>
        <v/>
      </c>
      <c r="AF267" s="21">
        <f>IF(Z267="","",Z267-N267)</f>
        <v/>
      </c>
      <c r="AG267" s="21">
        <f>IF(AA267="","",AA267-O267)</f>
        <v/>
      </c>
      <c r="AH267" s="21">
        <f>IF(AB267="","",AB267-P267)</f>
        <v/>
      </c>
      <c r="AI267" s="18">
        <f>IF(COUNTA(W267:AB267)=0,"未入力",IF(COUNTA(W267:AB267)&lt;6,"一部入力",IF(COUNTIF(AC267:AH267,0)=6,"一致","差分あり")))</f>
        <v/>
      </c>
      <c r="AJ2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7" s="19" t="inlineStr"/>
      <c r="AL267" s="18" t="inlineStr">
        <is>
          <t>2026-06-29</t>
        </is>
      </c>
    </row>
    <row r="268" ht="22" customHeight="1">
      <c r="A268" s="17" t="inlineStr">
        <is>
          <t>1003501-LB20</t>
        </is>
      </c>
      <c r="B268" s="18" t="n">
        <v>1003501</v>
      </c>
      <c r="C268" s="17" t="inlineStr">
        <is>
          <t>AKanzaki01</t>
        </is>
      </c>
      <c r="D268" s="17" t="inlineStr">
        <is>
          <t>AKanzaki</t>
        </is>
      </c>
      <c r="E268" s="17" t="inlineStr">
        <is>
          <t>神崎 アーデルハイド</t>
        </is>
      </c>
      <c r="F268" s="19" t="inlineStr">
        <is>
          <t>碧落の忍び</t>
        </is>
      </c>
      <c r="G268" s="18" t="inlineStr">
        <is>
          <t>A</t>
        </is>
      </c>
      <c r="H268" s="17" t="inlineStr">
        <is>
          <t>Blaster</t>
        </is>
      </c>
      <c r="I268" s="18" t="n">
        <v>20</v>
      </c>
      <c r="J268" s="18" t="n">
        <v>20</v>
      </c>
      <c r="K268" s="18" t="n">
        <v>336</v>
      </c>
      <c r="L268" s="18" t="n">
        <v>320</v>
      </c>
      <c r="M268" s="18" t="n">
        <v>332</v>
      </c>
      <c r="N268" s="18" t="n">
        <v>332</v>
      </c>
      <c r="O268" s="18" t="n">
        <v>285</v>
      </c>
      <c r="P268" s="18" t="n">
        <v>297</v>
      </c>
      <c r="Q268" s="18" t="n">
        <v>34</v>
      </c>
      <c r="R268" s="18" t="n">
        <v>32</v>
      </c>
      <c r="S268" s="18" t="n">
        <v>34</v>
      </c>
      <c r="T268" s="18" t="n">
        <v>34</v>
      </c>
      <c r="U268" s="18" t="n">
        <v>29</v>
      </c>
      <c r="V268" s="18" t="n">
        <v>30</v>
      </c>
      <c r="W268" s="20" t="n"/>
      <c r="X268" s="20" t="n"/>
      <c r="Y268" s="20" t="n"/>
      <c r="Z268" s="20" t="n"/>
      <c r="AA268" s="20" t="n"/>
      <c r="AB268" s="20" t="n"/>
      <c r="AC268" s="21">
        <f>IF(W268="","",W268-K268)</f>
        <v/>
      </c>
      <c r="AD268" s="21">
        <f>IF(X268="","",X268-L268)</f>
        <v/>
      </c>
      <c r="AE268" s="21">
        <f>IF(Y268="","",Y268-M268)</f>
        <v/>
      </c>
      <c r="AF268" s="21">
        <f>IF(Z268="","",Z268-N268)</f>
        <v/>
      </c>
      <c r="AG268" s="21">
        <f>IF(AA268="","",AA268-O268)</f>
        <v/>
      </c>
      <c r="AH268" s="21">
        <f>IF(AB268="","",AB268-P268)</f>
        <v/>
      </c>
      <c r="AI268" s="18">
        <f>IF(COUNTA(W268:AB268)=0,"未入力",IF(COUNTA(W268:AB268)&lt;6,"一部入力",IF(COUNTIF(AC268:AH268,0)=6,"一致","差分あり")))</f>
        <v/>
      </c>
      <c r="AJ2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8" s="19" t="inlineStr"/>
      <c r="AL268" s="18" t="inlineStr">
        <is>
          <t>2026-06-29</t>
        </is>
      </c>
    </row>
    <row r="269" ht="22" customHeight="1">
      <c r="A269" s="17" t="inlineStr">
        <is>
          <t>1003502-LB0</t>
        </is>
      </c>
      <c r="B269" s="18" t="n">
        <v>1003502</v>
      </c>
      <c r="C269" s="17" t="inlineStr">
        <is>
          <t>AKanzaki02</t>
        </is>
      </c>
      <c r="D269" s="17" t="inlineStr">
        <is>
          <t>AKanzaki</t>
        </is>
      </c>
      <c r="E269" s="17" t="inlineStr">
        <is>
          <t>神崎 アーデルハイド</t>
        </is>
      </c>
      <c r="F269" s="19" t="inlineStr">
        <is>
          <t>微光の兆し</t>
        </is>
      </c>
      <c r="G269" s="18" t="inlineStr">
        <is>
          <t>S</t>
        </is>
      </c>
      <c r="H269" s="17" t="inlineStr">
        <is>
          <t>Blaster</t>
        </is>
      </c>
      <c r="I269" s="18" t="n">
        <v>0</v>
      </c>
      <c r="J269" s="18" t="n">
        <v>10</v>
      </c>
      <c r="K269" s="18" t="n">
        <v>318</v>
      </c>
      <c r="L269" s="18" t="n">
        <v>347</v>
      </c>
      <c r="M269" s="18" t="n">
        <v>316</v>
      </c>
      <c r="N269" s="18" t="n">
        <v>305</v>
      </c>
      <c r="O269" s="18" t="n">
        <v>344</v>
      </c>
      <c r="P269" s="18" t="n">
        <v>324</v>
      </c>
      <c r="Q269" s="18" t="n">
        <v>32</v>
      </c>
      <c r="R269" s="18" t="n">
        <v>35</v>
      </c>
      <c r="S269" s="18" t="n">
        <v>32</v>
      </c>
      <c r="T269" s="18" t="n">
        <v>31</v>
      </c>
      <c r="U269" s="18" t="n">
        <v>35</v>
      </c>
      <c r="V269" s="18" t="n">
        <v>33</v>
      </c>
      <c r="W269" s="20" t="n"/>
      <c r="X269" s="20" t="n"/>
      <c r="Y269" s="20" t="n"/>
      <c r="Z269" s="20" t="n"/>
      <c r="AA269" s="20" t="n"/>
      <c r="AB269" s="20" t="n"/>
      <c r="AC269" s="21">
        <f>IF(W269="","",W269-K269)</f>
        <v/>
      </c>
      <c r="AD269" s="21">
        <f>IF(X269="","",X269-L269)</f>
        <v/>
      </c>
      <c r="AE269" s="21">
        <f>IF(Y269="","",Y269-M269)</f>
        <v/>
      </c>
      <c r="AF269" s="21">
        <f>IF(Z269="","",Z269-N269)</f>
        <v/>
      </c>
      <c r="AG269" s="21">
        <f>IF(AA269="","",AA269-O269)</f>
        <v/>
      </c>
      <c r="AH269" s="21">
        <f>IF(AB269="","",AB269-P269)</f>
        <v/>
      </c>
      <c r="AI269" s="18">
        <f>IF(COUNTA(W269:AB269)=0,"未入力",IF(COUNTA(W269:AB269)&lt;6,"一部入力",IF(COUNTIF(AC269:AH269,0)=6,"一致","差分あり")))</f>
        <v/>
      </c>
      <c r="AJ2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69" s="19" t="inlineStr"/>
      <c r="AL269" s="18" t="inlineStr">
        <is>
          <t>2026-06-29</t>
        </is>
      </c>
    </row>
    <row r="270" ht="22" customHeight="1">
      <c r="A270" s="17" t="inlineStr">
        <is>
          <t>1003502-LB10</t>
        </is>
      </c>
      <c r="B270" s="18" t="n">
        <v>1003502</v>
      </c>
      <c r="C270" s="17" t="inlineStr">
        <is>
          <t>AKanzaki02</t>
        </is>
      </c>
      <c r="D270" s="17" t="inlineStr">
        <is>
          <t>AKanzaki</t>
        </is>
      </c>
      <c r="E270" s="17" t="inlineStr">
        <is>
          <t>神崎 アーデルハイド</t>
        </is>
      </c>
      <c r="F270" s="19" t="inlineStr">
        <is>
          <t>微光の兆し</t>
        </is>
      </c>
      <c r="G270" s="18" t="inlineStr">
        <is>
          <t>S</t>
        </is>
      </c>
      <c r="H270" s="17" t="inlineStr">
        <is>
          <t>Blaster</t>
        </is>
      </c>
      <c r="I270" s="18" t="n">
        <v>10</v>
      </c>
      <c r="J270" s="18" t="n">
        <v>10</v>
      </c>
      <c r="K270" s="18" t="n">
        <v>386</v>
      </c>
      <c r="L270" s="18" t="n">
        <v>412</v>
      </c>
      <c r="M270" s="18" t="n">
        <v>381</v>
      </c>
      <c r="N270" s="18" t="n">
        <v>370</v>
      </c>
      <c r="O270" s="18" t="n">
        <v>408</v>
      </c>
      <c r="P270" s="18" t="n">
        <v>391</v>
      </c>
      <c r="Q270" s="18" t="n">
        <v>39</v>
      </c>
      <c r="R270" s="18" t="n">
        <v>42</v>
      </c>
      <c r="S270" s="18" t="n">
        <v>39</v>
      </c>
      <c r="T270" s="18" t="n">
        <v>37</v>
      </c>
      <c r="U270" s="18" t="n">
        <v>41</v>
      </c>
      <c r="V270" s="18" t="n">
        <v>40</v>
      </c>
      <c r="W270" s="20" t="n"/>
      <c r="X270" s="20" t="n"/>
      <c r="Y270" s="20" t="n"/>
      <c r="Z270" s="20" t="n"/>
      <c r="AA270" s="20" t="n"/>
      <c r="AB270" s="20" t="n"/>
      <c r="AC270" s="21">
        <f>IF(W270="","",W270-K270)</f>
        <v/>
      </c>
      <c r="AD270" s="21">
        <f>IF(X270="","",X270-L270)</f>
        <v/>
      </c>
      <c r="AE270" s="21">
        <f>IF(Y270="","",Y270-M270)</f>
        <v/>
      </c>
      <c r="AF270" s="21">
        <f>IF(Z270="","",Z270-N270)</f>
        <v/>
      </c>
      <c r="AG270" s="21">
        <f>IF(AA270="","",AA270-O270)</f>
        <v/>
      </c>
      <c r="AH270" s="21">
        <f>IF(AB270="","",AB270-P270)</f>
        <v/>
      </c>
      <c r="AI270" s="18">
        <f>IF(COUNTA(W270:AB270)=0,"未入力",IF(COUNTA(W270:AB270)&lt;6,"一部入力",IF(COUNTIF(AC270:AH270,0)=6,"一致","差分あり")))</f>
        <v/>
      </c>
      <c r="AJ2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0" s="19" t="inlineStr"/>
      <c r="AL270" s="18" t="inlineStr">
        <is>
          <t>2026-06-29</t>
        </is>
      </c>
    </row>
    <row r="271" ht="22" customHeight="1">
      <c r="A271" s="17" t="inlineStr">
        <is>
          <t>1003503-LB0</t>
        </is>
      </c>
      <c r="B271" s="18" t="n">
        <v>1003503</v>
      </c>
      <c r="C271" s="17" t="inlineStr">
        <is>
          <t>AKanzaki03</t>
        </is>
      </c>
      <c r="D271" s="17" t="inlineStr">
        <is>
          <t>AKanzaki</t>
        </is>
      </c>
      <c r="E271" s="17" t="inlineStr">
        <is>
          <t>神崎 アーデルハイド</t>
        </is>
      </c>
      <c r="F271" s="19" t="inlineStr">
        <is>
          <t>ごちゃまぜ忍法大乱闘</t>
        </is>
      </c>
      <c r="G271" s="18" t="inlineStr">
        <is>
          <t>SS</t>
        </is>
      </c>
      <c r="H271" s="17" t="inlineStr">
        <is>
          <t>Blaster</t>
        </is>
      </c>
      <c r="I271" s="18" t="n">
        <v>0</v>
      </c>
      <c r="J271" s="18" t="n">
        <v>4</v>
      </c>
      <c r="K271" s="18" t="n">
        <v>427</v>
      </c>
      <c r="L271" s="18" t="n">
        <v>339</v>
      </c>
      <c r="M271" s="18" t="n">
        <v>362</v>
      </c>
      <c r="N271" s="18" t="n">
        <v>375</v>
      </c>
      <c r="O271" s="18" t="n">
        <v>371</v>
      </c>
      <c r="P271" s="18" t="n">
        <v>398</v>
      </c>
      <c r="Q271" s="18" t="n">
        <v>43</v>
      </c>
      <c r="R271" s="18" t="n">
        <v>34</v>
      </c>
      <c r="S271" s="18" t="n">
        <v>37</v>
      </c>
      <c r="T271" s="18" t="n">
        <v>38</v>
      </c>
      <c r="U271" s="18" t="n">
        <v>38</v>
      </c>
      <c r="V271" s="18" t="n">
        <v>40</v>
      </c>
      <c r="W271" s="20" t="n"/>
      <c r="X271" s="20" t="n"/>
      <c r="Y271" s="20" t="n"/>
      <c r="Z271" s="20" t="n"/>
      <c r="AA271" s="20" t="n"/>
      <c r="AB271" s="20" t="n"/>
      <c r="AC271" s="21">
        <f>IF(W271="","",W271-K271)</f>
        <v/>
      </c>
      <c r="AD271" s="21">
        <f>IF(X271="","",X271-L271)</f>
        <v/>
      </c>
      <c r="AE271" s="21">
        <f>IF(Y271="","",Y271-M271)</f>
        <v/>
      </c>
      <c r="AF271" s="21">
        <f>IF(Z271="","",Z271-N271)</f>
        <v/>
      </c>
      <c r="AG271" s="21">
        <f>IF(AA271="","",AA271-O271)</f>
        <v/>
      </c>
      <c r="AH271" s="21">
        <f>IF(AB271="","",AB271-P271)</f>
        <v/>
      </c>
      <c r="AI271" s="18">
        <f>IF(COUNTA(W271:AB271)=0,"未入力",IF(COUNTA(W271:AB271)&lt;6,"一部入力",IF(COUNTIF(AC271:AH271,0)=6,"一致","差分あり")))</f>
        <v/>
      </c>
      <c r="AJ2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1" s="19" t="inlineStr"/>
      <c r="AL271" s="18" t="inlineStr">
        <is>
          <t>2026-06-29</t>
        </is>
      </c>
    </row>
    <row r="272" ht="22" customHeight="1">
      <c r="A272" s="17" t="inlineStr">
        <is>
          <t>1003503-LB4</t>
        </is>
      </c>
      <c r="B272" s="18" t="n">
        <v>1003503</v>
      </c>
      <c r="C272" s="17" t="inlineStr">
        <is>
          <t>AKanzaki03</t>
        </is>
      </c>
      <c r="D272" s="17" t="inlineStr">
        <is>
          <t>AKanzaki</t>
        </is>
      </c>
      <c r="E272" s="17" t="inlineStr">
        <is>
          <t>神崎 アーデルハイド</t>
        </is>
      </c>
      <c r="F272" s="19" t="inlineStr">
        <is>
          <t>ごちゃまぜ忍法大乱闘</t>
        </is>
      </c>
      <c r="G272" s="18" t="inlineStr">
        <is>
          <t>SS</t>
        </is>
      </c>
      <c r="H272" s="17" t="inlineStr">
        <is>
          <t>Blaster</t>
        </is>
      </c>
      <c r="I272" s="18" t="n">
        <v>4</v>
      </c>
      <c r="J272" s="18" t="n">
        <v>4</v>
      </c>
      <c r="K272" s="18" t="n">
        <v>518</v>
      </c>
      <c r="L272" s="18" t="n">
        <v>426</v>
      </c>
      <c r="M272" s="18" t="n">
        <v>450</v>
      </c>
      <c r="N272" s="18" t="n">
        <v>463</v>
      </c>
      <c r="O272" s="18" t="n">
        <v>457</v>
      </c>
      <c r="P272" s="18" t="n">
        <v>487</v>
      </c>
      <c r="Q272" s="18" t="n">
        <v>52</v>
      </c>
      <c r="R272" s="18" t="n">
        <v>43</v>
      </c>
      <c r="S272" s="18" t="n">
        <v>45</v>
      </c>
      <c r="T272" s="18" t="n">
        <v>47</v>
      </c>
      <c r="U272" s="18" t="n">
        <v>46</v>
      </c>
      <c r="V272" s="18" t="n">
        <v>49</v>
      </c>
      <c r="W272" s="20" t="n"/>
      <c r="X272" s="20" t="n"/>
      <c r="Y272" s="20" t="n"/>
      <c r="Z272" s="20" t="n"/>
      <c r="AA272" s="20" t="n"/>
      <c r="AB272" s="20" t="n"/>
      <c r="AC272" s="21">
        <f>IF(W272="","",W272-K272)</f>
        <v/>
      </c>
      <c r="AD272" s="21">
        <f>IF(X272="","",X272-L272)</f>
        <v/>
      </c>
      <c r="AE272" s="21">
        <f>IF(Y272="","",Y272-M272)</f>
        <v/>
      </c>
      <c r="AF272" s="21">
        <f>IF(Z272="","",Z272-N272)</f>
        <v/>
      </c>
      <c r="AG272" s="21">
        <f>IF(AA272="","",AA272-O272)</f>
        <v/>
      </c>
      <c r="AH272" s="21">
        <f>IF(AB272="","",AB272-P272)</f>
        <v/>
      </c>
      <c r="AI272" s="18">
        <f>IF(COUNTA(W272:AB272)=0,"未入力",IF(COUNTA(W272:AB272)&lt;6,"一部入力",IF(COUNTIF(AC272:AH272,0)=6,"一致","差分あり")))</f>
        <v/>
      </c>
      <c r="AJ2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2" s="19" t="inlineStr"/>
      <c r="AL272" s="18" t="inlineStr">
        <is>
          <t>2026-06-29</t>
        </is>
      </c>
    </row>
    <row r="273" ht="22" customHeight="1">
      <c r="A273" s="17" t="inlineStr">
        <is>
          <t>1003504-LB0</t>
        </is>
      </c>
      <c r="B273" s="18" t="n">
        <v>1003504</v>
      </c>
      <c r="C273" s="17" t="inlineStr">
        <is>
          <t>AKanzaki04</t>
        </is>
      </c>
      <c r="D273" s="17" t="inlineStr">
        <is>
          <t>AKanzaki</t>
        </is>
      </c>
      <c r="E273" s="17" t="inlineStr">
        <is>
          <t>神崎 アーデルハイド</t>
        </is>
      </c>
      <c r="F273" s="19" t="inlineStr">
        <is>
          <t>氷花のHexerei</t>
        </is>
      </c>
      <c r="G273" s="18" t="inlineStr">
        <is>
          <t>SS</t>
        </is>
      </c>
      <c r="H273" s="17" t="inlineStr">
        <is>
          <t>Blaster</t>
        </is>
      </c>
      <c r="I273" s="18" t="n">
        <v>0</v>
      </c>
      <c r="J273" s="18" t="n">
        <v>4</v>
      </c>
      <c r="K273" s="18" t="n">
        <v>450</v>
      </c>
      <c r="L273" s="18" t="n">
        <v>361</v>
      </c>
      <c r="M273" s="18" t="n">
        <v>384</v>
      </c>
      <c r="N273" s="18" t="n">
        <v>397</v>
      </c>
      <c r="O273" s="18" t="n">
        <v>392</v>
      </c>
      <c r="P273" s="18" t="n">
        <v>420</v>
      </c>
      <c r="Q273" s="18" t="n">
        <v>45</v>
      </c>
      <c r="R273" s="18" t="n">
        <v>37</v>
      </c>
      <c r="S273" s="18" t="n">
        <v>39</v>
      </c>
      <c r="T273" s="18" t="n">
        <v>40</v>
      </c>
      <c r="U273" s="18" t="n">
        <v>40</v>
      </c>
      <c r="V273" s="18" t="n">
        <v>42</v>
      </c>
      <c r="W273" s="20" t="n"/>
      <c r="X273" s="20" t="n"/>
      <c r="Y273" s="20" t="n"/>
      <c r="Z273" s="20" t="n"/>
      <c r="AA273" s="20" t="n"/>
      <c r="AB273" s="20" t="n"/>
      <c r="AC273" s="21">
        <f>IF(W273="","",W273-K273)</f>
        <v/>
      </c>
      <c r="AD273" s="21">
        <f>IF(X273="","",X273-L273)</f>
        <v/>
      </c>
      <c r="AE273" s="21">
        <f>IF(Y273="","",Y273-M273)</f>
        <v/>
      </c>
      <c r="AF273" s="21">
        <f>IF(Z273="","",Z273-N273)</f>
        <v/>
      </c>
      <c r="AG273" s="21">
        <f>IF(AA273="","",AA273-O273)</f>
        <v/>
      </c>
      <c r="AH273" s="21">
        <f>IF(AB273="","",AB273-P273)</f>
        <v/>
      </c>
      <c r="AI273" s="18">
        <f>IF(COUNTA(W273:AB273)=0,"未入力",IF(COUNTA(W273:AB273)&lt;6,"一部入力",IF(COUNTIF(AC273:AH273,0)=6,"一致","差分あり")))</f>
        <v/>
      </c>
      <c r="AJ2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3" s="19" t="inlineStr"/>
      <c r="AL273" s="18" t="inlineStr">
        <is>
          <t>2026-06-29</t>
        </is>
      </c>
    </row>
    <row r="274" ht="22" customHeight="1">
      <c r="A274" s="17" t="inlineStr">
        <is>
          <t>1003504-LB4</t>
        </is>
      </c>
      <c r="B274" s="18" t="n">
        <v>1003504</v>
      </c>
      <c r="C274" s="17" t="inlineStr">
        <is>
          <t>AKanzaki04</t>
        </is>
      </c>
      <c r="D274" s="17" t="inlineStr">
        <is>
          <t>AKanzaki</t>
        </is>
      </c>
      <c r="E274" s="17" t="inlineStr">
        <is>
          <t>神崎 アーデルハイド</t>
        </is>
      </c>
      <c r="F274" s="19" t="inlineStr">
        <is>
          <t>氷花のHexerei</t>
        </is>
      </c>
      <c r="G274" s="18" t="inlineStr">
        <is>
          <t>SS</t>
        </is>
      </c>
      <c r="H274" s="17" t="inlineStr">
        <is>
          <t>Blaster</t>
        </is>
      </c>
      <c r="I274" s="18" t="n">
        <v>4</v>
      </c>
      <c r="J274" s="18" t="n">
        <v>4</v>
      </c>
      <c r="K274" s="18" t="n">
        <v>541</v>
      </c>
      <c r="L274" s="18" t="n">
        <v>448</v>
      </c>
      <c r="M274" s="18" t="n">
        <v>471</v>
      </c>
      <c r="N274" s="18" t="n">
        <v>484</v>
      </c>
      <c r="O274" s="18" t="n">
        <v>478</v>
      </c>
      <c r="P274" s="18" t="n">
        <v>510</v>
      </c>
      <c r="Q274" s="18" t="n">
        <v>55</v>
      </c>
      <c r="R274" s="18" t="n">
        <v>45</v>
      </c>
      <c r="S274" s="18" t="n">
        <v>48</v>
      </c>
      <c r="T274" s="18" t="n">
        <v>49</v>
      </c>
      <c r="U274" s="18" t="n">
        <v>48</v>
      </c>
      <c r="V274" s="18" t="n">
        <v>51</v>
      </c>
      <c r="W274" s="20" t="n"/>
      <c r="X274" s="20" t="n"/>
      <c r="Y274" s="20" t="n"/>
      <c r="Z274" s="20" t="n"/>
      <c r="AA274" s="20" t="n"/>
      <c r="AB274" s="20" t="n"/>
      <c r="AC274" s="21">
        <f>IF(W274="","",W274-K274)</f>
        <v/>
      </c>
      <c r="AD274" s="21">
        <f>IF(X274="","",X274-L274)</f>
        <v/>
      </c>
      <c r="AE274" s="21">
        <f>IF(Y274="","",Y274-M274)</f>
        <v/>
      </c>
      <c r="AF274" s="21">
        <f>IF(Z274="","",Z274-N274)</f>
        <v/>
      </c>
      <c r="AG274" s="21">
        <f>IF(AA274="","",AA274-O274)</f>
        <v/>
      </c>
      <c r="AH274" s="21">
        <f>IF(AB274="","",AB274-P274)</f>
        <v/>
      </c>
      <c r="AI274" s="18">
        <f>IF(COUNTA(W274:AB274)=0,"未入力",IF(COUNTA(W274:AB274)&lt;6,"一部入力",IF(COUNTIF(AC274:AH274,0)=6,"一致","差分あり")))</f>
        <v/>
      </c>
      <c r="AJ2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4" s="19" t="inlineStr"/>
      <c r="AL274" s="18" t="inlineStr">
        <is>
          <t>2026-06-29</t>
        </is>
      </c>
    </row>
    <row r="275" ht="22" customHeight="1">
      <c r="A275" s="17" t="inlineStr">
        <is>
          <t>1003505-LB0</t>
        </is>
      </c>
      <c r="B275" s="18" t="n">
        <v>1003505</v>
      </c>
      <c r="C275" s="17" t="inlineStr">
        <is>
          <t>AKanzaki05</t>
        </is>
      </c>
      <c r="D275" s="17" t="inlineStr">
        <is>
          <t>AKanzaki</t>
        </is>
      </c>
      <c r="E275" s="17" t="inlineStr">
        <is>
          <t>神崎 アーデルハイド</t>
        </is>
      </c>
      <c r="F275" s="19" t="inlineStr">
        <is>
          <t>少女の休息</t>
        </is>
      </c>
      <c r="G275" s="18" t="inlineStr">
        <is>
          <t>SS</t>
        </is>
      </c>
      <c r="H275" s="17" t="inlineStr">
        <is>
          <t>Blaster</t>
        </is>
      </c>
      <c r="I275" s="18" t="n">
        <v>0</v>
      </c>
      <c r="J275" s="18" t="n">
        <v>4</v>
      </c>
      <c r="K275" s="18" t="n">
        <v>450</v>
      </c>
      <c r="L275" s="18" t="n">
        <v>361</v>
      </c>
      <c r="M275" s="18" t="n">
        <v>384</v>
      </c>
      <c r="N275" s="18" t="n">
        <v>397</v>
      </c>
      <c r="O275" s="18" t="n">
        <v>392</v>
      </c>
      <c r="P275" s="18" t="n">
        <v>420</v>
      </c>
      <c r="Q275" s="18" t="n">
        <v>45</v>
      </c>
      <c r="R275" s="18" t="n">
        <v>37</v>
      </c>
      <c r="S275" s="18" t="n">
        <v>39</v>
      </c>
      <c r="T275" s="18" t="n">
        <v>40</v>
      </c>
      <c r="U275" s="18" t="n">
        <v>40</v>
      </c>
      <c r="V275" s="18" t="n">
        <v>42</v>
      </c>
      <c r="W275" s="20" t="n"/>
      <c r="X275" s="20" t="n"/>
      <c r="Y275" s="20" t="n"/>
      <c r="Z275" s="20" t="n"/>
      <c r="AA275" s="20" t="n"/>
      <c r="AB275" s="20" t="n"/>
      <c r="AC275" s="21">
        <f>IF(W275="","",W275-K275)</f>
        <v/>
      </c>
      <c r="AD275" s="21">
        <f>IF(X275="","",X275-L275)</f>
        <v/>
      </c>
      <c r="AE275" s="21">
        <f>IF(Y275="","",Y275-M275)</f>
        <v/>
      </c>
      <c r="AF275" s="21">
        <f>IF(Z275="","",Z275-N275)</f>
        <v/>
      </c>
      <c r="AG275" s="21">
        <f>IF(AA275="","",AA275-O275)</f>
        <v/>
      </c>
      <c r="AH275" s="21">
        <f>IF(AB275="","",AB275-P275)</f>
        <v/>
      </c>
      <c r="AI275" s="18">
        <f>IF(COUNTA(W275:AB275)=0,"未入力",IF(COUNTA(W275:AB275)&lt;6,"一部入力",IF(COUNTIF(AC275:AH275,0)=6,"一致","差分あり")))</f>
        <v/>
      </c>
      <c r="AJ2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5" s="19" t="inlineStr"/>
      <c r="AL275" s="18" t="inlineStr">
        <is>
          <t>2026-06-29</t>
        </is>
      </c>
    </row>
    <row r="276" ht="22" customHeight="1">
      <c r="A276" s="17" t="inlineStr">
        <is>
          <t>1003505-LB4</t>
        </is>
      </c>
      <c r="B276" s="18" t="n">
        <v>1003505</v>
      </c>
      <c r="C276" s="17" t="inlineStr">
        <is>
          <t>AKanzaki05</t>
        </is>
      </c>
      <c r="D276" s="17" t="inlineStr">
        <is>
          <t>AKanzaki</t>
        </is>
      </c>
      <c r="E276" s="17" t="inlineStr">
        <is>
          <t>神崎 アーデルハイド</t>
        </is>
      </c>
      <c r="F276" s="19" t="inlineStr">
        <is>
          <t>少女の休息</t>
        </is>
      </c>
      <c r="G276" s="18" t="inlineStr">
        <is>
          <t>SS</t>
        </is>
      </c>
      <c r="H276" s="17" t="inlineStr">
        <is>
          <t>Blaster</t>
        </is>
      </c>
      <c r="I276" s="18" t="n">
        <v>4</v>
      </c>
      <c r="J276" s="18" t="n">
        <v>4</v>
      </c>
      <c r="K276" s="18" t="n">
        <v>541</v>
      </c>
      <c r="L276" s="18" t="n">
        <v>448</v>
      </c>
      <c r="M276" s="18" t="n">
        <v>471</v>
      </c>
      <c r="N276" s="18" t="n">
        <v>484</v>
      </c>
      <c r="O276" s="18" t="n">
        <v>478</v>
      </c>
      <c r="P276" s="18" t="n">
        <v>510</v>
      </c>
      <c r="Q276" s="18" t="n">
        <v>55</v>
      </c>
      <c r="R276" s="18" t="n">
        <v>45</v>
      </c>
      <c r="S276" s="18" t="n">
        <v>48</v>
      </c>
      <c r="T276" s="18" t="n">
        <v>49</v>
      </c>
      <c r="U276" s="18" t="n">
        <v>48</v>
      </c>
      <c r="V276" s="18" t="n">
        <v>51</v>
      </c>
      <c r="W276" s="20" t="n"/>
      <c r="X276" s="20" t="n"/>
      <c r="Y276" s="20" t="n"/>
      <c r="Z276" s="20" t="n"/>
      <c r="AA276" s="20" t="n"/>
      <c r="AB276" s="20" t="n"/>
      <c r="AC276" s="21">
        <f>IF(W276="","",W276-K276)</f>
        <v/>
      </c>
      <c r="AD276" s="21">
        <f>IF(X276="","",X276-L276)</f>
        <v/>
      </c>
      <c r="AE276" s="21">
        <f>IF(Y276="","",Y276-M276)</f>
        <v/>
      </c>
      <c r="AF276" s="21">
        <f>IF(Z276="","",Z276-N276)</f>
        <v/>
      </c>
      <c r="AG276" s="21">
        <f>IF(AA276="","",AA276-O276)</f>
        <v/>
      </c>
      <c r="AH276" s="21">
        <f>IF(AB276="","",AB276-P276)</f>
        <v/>
      </c>
      <c r="AI276" s="18">
        <f>IF(COUNTA(W276:AB276)=0,"未入力",IF(COUNTA(W276:AB276)&lt;6,"一部入力",IF(COUNTIF(AC276:AH276,0)=6,"一致","差分あり")))</f>
        <v/>
      </c>
      <c r="AJ2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6" s="19" t="inlineStr"/>
      <c r="AL276" s="18" t="inlineStr">
        <is>
          <t>2026-06-29</t>
        </is>
      </c>
    </row>
    <row r="277" ht="22" customHeight="1">
      <c r="A277" s="17" t="inlineStr">
        <is>
          <t>1003506-LB0</t>
        </is>
      </c>
      <c r="B277" s="18" t="n">
        <v>1003506</v>
      </c>
      <c r="C277" s="17" t="inlineStr">
        <is>
          <t>AKanzaki06</t>
        </is>
      </c>
      <c r="D277" s="17" t="inlineStr">
        <is>
          <t>AKanzaki</t>
        </is>
      </c>
      <c r="E277" s="17" t="inlineStr">
        <is>
          <t>神崎 アーデルハイド</t>
        </is>
      </c>
      <c r="F277" s="19" t="inlineStr">
        <is>
          <t>向日葵</t>
        </is>
      </c>
      <c r="G277" s="18" t="inlineStr">
        <is>
          <t>SS</t>
        </is>
      </c>
      <c r="H277" s="17" t="inlineStr">
        <is>
          <t>Blaster</t>
        </is>
      </c>
      <c r="I277" s="18" t="n">
        <v>0</v>
      </c>
      <c r="J277" s="18" t="n">
        <v>4</v>
      </c>
      <c r="K277" s="18" t="n">
        <v>450</v>
      </c>
      <c r="L277" s="18" t="n">
        <v>361</v>
      </c>
      <c r="M277" s="18" t="n">
        <v>384</v>
      </c>
      <c r="N277" s="18" t="n">
        <v>397</v>
      </c>
      <c r="O277" s="18" t="n">
        <v>392</v>
      </c>
      <c r="P277" s="18" t="n">
        <v>420</v>
      </c>
      <c r="Q277" s="18" t="n">
        <v>45</v>
      </c>
      <c r="R277" s="18" t="n">
        <v>37</v>
      </c>
      <c r="S277" s="18" t="n">
        <v>39</v>
      </c>
      <c r="T277" s="18" t="n">
        <v>40</v>
      </c>
      <c r="U277" s="18" t="n">
        <v>40</v>
      </c>
      <c r="V277" s="18" t="n">
        <v>42</v>
      </c>
      <c r="W277" s="20" t="n"/>
      <c r="X277" s="20" t="n"/>
      <c r="Y277" s="20" t="n"/>
      <c r="Z277" s="20" t="n"/>
      <c r="AA277" s="20" t="n"/>
      <c r="AB277" s="20" t="n"/>
      <c r="AC277" s="21">
        <f>IF(W277="","",W277-K277)</f>
        <v/>
      </c>
      <c r="AD277" s="21">
        <f>IF(X277="","",X277-L277)</f>
        <v/>
      </c>
      <c r="AE277" s="21">
        <f>IF(Y277="","",Y277-M277)</f>
        <v/>
      </c>
      <c r="AF277" s="21">
        <f>IF(Z277="","",Z277-N277)</f>
        <v/>
      </c>
      <c r="AG277" s="21">
        <f>IF(AA277="","",AA277-O277)</f>
        <v/>
      </c>
      <c r="AH277" s="21">
        <f>IF(AB277="","",AB277-P277)</f>
        <v/>
      </c>
      <c r="AI277" s="18">
        <f>IF(COUNTA(W277:AB277)=0,"未入力",IF(COUNTA(W277:AB277)&lt;6,"一部入力",IF(COUNTIF(AC277:AH277,0)=6,"一致","差分あり")))</f>
        <v/>
      </c>
      <c r="AJ2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7" s="19" t="inlineStr"/>
      <c r="AL277" s="18" t="inlineStr">
        <is>
          <t>2026-06-29</t>
        </is>
      </c>
    </row>
    <row r="278" ht="22" customHeight="1">
      <c r="A278" s="17" t="inlineStr">
        <is>
          <t>1003506-LB4</t>
        </is>
      </c>
      <c r="B278" s="18" t="n">
        <v>1003506</v>
      </c>
      <c r="C278" s="17" t="inlineStr">
        <is>
          <t>AKanzaki06</t>
        </is>
      </c>
      <c r="D278" s="17" t="inlineStr">
        <is>
          <t>AKanzaki</t>
        </is>
      </c>
      <c r="E278" s="17" t="inlineStr">
        <is>
          <t>神崎 アーデルハイド</t>
        </is>
      </c>
      <c r="F278" s="19" t="inlineStr">
        <is>
          <t>向日葵</t>
        </is>
      </c>
      <c r="G278" s="18" t="inlineStr">
        <is>
          <t>SS</t>
        </is>
      </c>
      <c r="H278" s="17" t="inlineStr">
        <is>
          <t>Blaster</t>
        </is>
      </c>
      <c r="I278" s="18" t="n">
        <v>4</v>
      </c>
      <c r="J278" s="18" t="n">
        <v>4</v>
      </c>
      <c r="K278" s="18" t="n">
        <v>541</v>
      </c>
      <c r="L278" s="18" t="n">
        <v>448</v>
      </c>
      <c r="M278" s="18" t="n">
        <v>471</v>
      </c>
      <c r="N278" s="18" t="n">
        <v>484</v>
      </c>
      <c r="O278" s="18" t="n">
        <v>478</v>
      </c>
      <c r="P278" s="18" t="n">
        <v>510</v>
      </c>
      <c r="Q278" s="18" t="n">
        <v>55</v>
      </c>
      <c r="R278" s="18" t="n">
        <v>45</v>
      </c>
      <c r="S278" s="18" t="n">
        <v>48</v>
      </c>
      <c r="T278" s="18" t="n">
        <v>49</v>
      </c>
      <c r="U278" s="18" t="n">
        <v>48</v>
      </c>
      <c r="V278" s="18" t="n">
        <v>51</v>
      </c>
      <c r="W278" s="20" t="n"/>
      <c r="X278" s="20" t="n"/>
      <c r="Y278" s="20" t="n"/>
      <c r="Z278" s="20" t="n"/>
      <c r="AA278" s="20" t="n"/>
      <c r="AB278" s="20" t="n"/>
      <c r="AC278" s="21">
        <f>IF(W278="","",W278-K278)</f>
        <v/>
      </c>
      <c r="AD278" s="21">
        <f>IF(X278="","",X278-L278)</f>
        <v/>
      </c>
      <c r="AE278" s="21">
        <f>IF(Y278="","",Y278-M278)</f>
        <v/>
      </c>
      <c r="AF278" s="21">
        <f>IF(Z278="","",Z278-N278)</f>
        <v/>
      </c>
      <c r="AG278" s="21">
        <f>IF(AA278="","",AA278-O278)</f>
        <v/>
      </c>
      <c r="AH278" s="21">
        <f>IF(AB278="","",AB278-P278)</f>
        <v/>
      </c>
      <c r="AI278" s="18">
        <f>IF(COUNTA(W278:AB278)=0,"未入力",IF(COUNTA(W278:AB278)&lt;6,"一部入力",IF(COUNTIF(AC278:AH278,0)=6,"一致","差分あり")))</f>
        <v/>
      </c>
      <c r="AJ2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8" s="19" t="inlineStr"/>
      <c r="AL278" s="18" t="inlineStr">
        <is>
          <t>2026-06-29</t>
        </is>
      </c>
    </row>
    <row r="279" ht="22" customHeight="1">
      <c r="A279" s="17" t="inlineStr">
        <is>
          <t>1003507-LB0</t>
        </is>
      </c>
      <c r="B279" s="18" t="n">
        <v>1003507</v>
      </c>
      <c r="C279" s="17" t="inlineStr">
        <is>
          <t>AKanzaki07</t>
        </is>
      </c>
      <c r="D279" s="17" t="inlineStr">
        <is>
          <t>AKanzaki</t>
        </is>
      </c>
      <c r="E279" s="17" t="inlineStr">
        <is>
          <t>神崎 アーデルハイド</t>
        </is>
      </c>
      <c r="F279" s="19" t="inlineStr">
        <is>
          <t>魔王に仕えし災禍の魔獣使い</t>
        </is>
      </c>
      <c r="G279" s="18" t="inlineStr">
        <is>
          <t>SSR</t>
        </is>
      </c>
      <c r="H279" s="17" t="inlineStr">
        <is>
          <t>Buffer</t>
        </is>
      </c>
      <c r="I279" s="18" t="n">
        <v>0</v>
      </c>
      <c r="J279" s="18" t="n">
        <v>4</v>
      </c>
      <c r="K279" s="18" t="n">
        <v>414</v>
      </c>
      <c r="L279" s="18" t="n">
        <v>396</v>
      </c>
      <c r="M279" s="18" t="n">
        <v>432</v>
      </c>
      <c r="N279" s="18" t="n">
        <v>410</v>
      </c>
      <c r="O279" s="18" t="n">
        <v>379</v>
      </c>
      <c r="P279" s="18" t="n">
        <v>371</v>
      </c>
      <c r="Q279" s="18" t="n">
        <v>42</v>
      </c>
      <c r="R279" s="18" t="n">
        <v>40</v>
      </c>
      <c r="S279" s="18" t="n">
        <v>44</v>
      </c>
      <c r="T279" s="18" t="n">
        <v>41</v>
      </c>
      <c r="U279" s="18" t="n">
        <v>38</v>
      </c>
      <c r="V279" s="18" t="n">
        <v>38</v>
      </c>
      <c r="W279" s="20" t="n"/>
      <c r="X279" s="20" t="n"/>
      <c r="Y279" s="20" t="n"/>
      <c r="Z279" s="20" t="n"/>
      <c r="AA279" s="20" t="n"/>
      <c r="AB279" s="20" t="n"/>
      <c r="AC279" s="21">
        <f>IF(W279="","",W279-K279)</f>
        <v/>
      </c>
      <c r="AD279" s="21">
        <f>IF(X279="","",X279-L279)</f>
        <v/>
      </c>
      <c r="AE279" s="21">
        <f>IF(Y279="","",Y279-M279)</f>
        <v/>
      </c>
      <c r="AF279" s="21">
        <f>IF(Z279="","",Z279-N279)</f>
        <v/>
      </c>
      <c r="AG279" s="21">
        <f>IF(AA279="","",AA279-O279)</f>
        <v/>
      </c>
      <c r="AH279" s="21">
        <f>IF(AB279="","",AB279-P279)</f>
        <v/>
      </c>
      <c r="AI279" s="18">
        <f>IF(COUNTA(W279:AB279)=0,"未入力",IF(COUNTA(W279:AB279)&lt;6,"一部入力",IF(COUNTIF(AC279:AH279,0)=6,"一致","差分あり")))</f>
        <v/>
      </c>
      <c r="AJ2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79" s="19" t="inlineStr"/>
      <c r="AL279" s="18" t="inlineStr">
        <is>
          <t>2026-06-29</t>
        </is>
      </c>
    </row>
    <row r="280" ht="22" customHeight="1">
      <c r="A280" s="17" t="inlineStr">
        <is>
          <t>1003507-LB4</t>
        </is>
      </c>
      <c r="B280" s="18" t="n">
        <v>1003507</v>
      </c>
      <c r="C280" s="17" t="inlineStr">
        <is>
          <t>AKanzaki07</t>
        </is>
      </c>
      <c r="D280" s="17" t="inlineStr">
        <is>
          <t>AKanzaki</t>
        </is>
      </c>
      <c r="E280" s="17" t="inlineStr">
        <is>
          <t>神崎 アーデルハイド</t>
        </is>
      </c>
      <c r="F280" s="19" t="inlineStr">
        <is>
          <t>魔王に仕えし災禍の魔獣使い</t>
        </is>
      </c>
      <c r="G280" s="18" t="inlineStr">
        <is>
          <t>SSR</t>
        </is>
      </c>
      <c r="H280" s="17" t="inlineStr">
        <is>
          <t>Buffer</t>
        </is>
      </c>
      <c r="I280" s="18" t="n">
        <v>4</v>
      </c>
      <c r="J280" s="18" t="n">
        <v>4</v>
      </c>
      <c r="K280" s="18" t="n">
        <v>505</v>
      </c>
      <c r="L280" s="18" t="n">
        <v>482</v>
      </c>
      <c r="M280" s="18" t="n">
        <v>519</v>
      </c>
      <c r="N280" s="18" t="n">
        <v>497</v>
      </c>
      <c r="O280" s="18" t="n">
        <v>465</v>
      </c>
      <c r="P280" s="18" t="n">
        <v>461</v>
      </c>
      <c r="Q280" s="18" t="n">
        <v>51</v>
      </c>
      <c r="R280" s="18" t="n">
        <v>49</v>
      </c>
      <c r="S280" s="18" t="n">
        <v>52</v>
      </c>
      <c r="T280" s="18" t="n">
        <v>50</v>
      </c>
      <c r="U280" s="18" t="n">
        <v>47</v>
      </c>
      <c r="V280" s="18" t="n">
        <v>47</v>
      </c>
      <c r="W280" s="20" t="n"/>
      <c r="X280" s="20" t="n"/>
      <c r="Y280" s="20" t="n"/>
      <c r="Z280" s="20" t="n"/>
      <c r="AA280" s="20" t="n"/>
      <c r="AB280" s="20" t="n"/>
      <c r="AC280" s="21">
        <f>IF(W280="","",W280-K280)</f>
        <v/>
      </c>
      <c r="AD280" s="21">
        <f>IF(X280="","",X280-L280)</f>
        <v/>
      </c>
      <c r="AE280" s="21">
        <f>IF(Y280="","",Y280-M280)</f>
        <v/>
      </c>
      <c r="AF280" s="21">
        <f>IF(Z280="","",Z280-N280)</f>
        <v/>
      </c>
      <c r="AG280" s="21">
        <f>IF(AA280="","",AA280-O280)</f>
        <v/>
      </c>
      <c r="AH280" s="21">
        <f>IF(AB280="","",AB280-P280)</f>
        <v/>
      </c>
      <c r="AI280" s="18">
        <f>IF(COUNTA(W280:AB280)=0,"未入力",IF(COUNTA(W280:AB280)&lt;6,"一部入力",IF(COUNTIF(AC280:AH280,0)=6,"一致","差分あり")))</f>
        <v/>
      </c>
      <c r="AJ2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0" s="19" t="inlineStr"/>
      <c r="AL280" s="18" t="inlineStr">
        <is>
          <t>2026-06-29</t>
        </is>
      </c>
    </row>
    <row r="281" ht="22" customHeight="1">
      <c r="A281" s="17" t="inlineStr">
        <is>
          <t>1003601-LB0</t>
        </is>
      </c>
      <c r="B281" s="18" t="n">
        <v>1003601</v>
      </c>
      <c r="C281" s="17" t="inlineStr">
        <is>
          <t>MSatsuki01</t>
        </is>
      </c>
      <c r="D281" s="17" t="inlineStr">
        <is>
          <t>MSatsuki</t>
        </is>
      </c>
      <c r="E281" s="17" t="inlineStr">
        <is>
          <t>佐月 マリ</t>
        </is>
      </c>
      <c r="F281" s="19" t="inlineStr">
        <is>
          <t>ビジネスとスマイル</t>
        </is>
      </c>
      <c r="G281" s="18" t="inlineStr">
        <is>
          <t>A</t>
        </is>
      </c>
      <c r="H281" s="17" t="inlineStr">
        <is>
          <t>Buffer</t>
        </is>
      </c>
      <c r="I281" s="18" t="n">
        <v>0</v>
      </c>
      <c r="J281" s="18" t="n">
        <v>20</v>
      </c>
      <c r="K281" s="18" t="n">
        <v>295</v>
      </c>
      <c r="L281" s="18" t="n">
        <v>245</v>
      </c>
      <c r="M281" s="18" t="n">
        <v>258</v>
      </c>
      <c r="N281" s="18" t="n">
        <v>283</v>
      </c>
      <c r="O281" s="18" t="n">
        <v>274</v>
      </c>
      <c r="P281" s="18" t="n">
        <v>286</v>
      </c>
      <c r="Q281" s="18" t="n">
        <v>30</v>
      </c>
      <c r="R281" s="18" t="n">
        <v>25</v>
      </c>
      <c r="S281" s="18" t="n">
        <v>26</v>
      </c>
      <c r="T281" s="18" t="n">
        <v>29</v>
      </c>
      <c r="U281" s="18" t="n">
        <v>28</v>
      </c>
      <c r="V281" s="18" t="n">
        <v>29</v>
      </c>
      <c r="W281" s="20" t="n"/>
      <c r="X281" s="20" t="n"/>
      <c r="Y281" s="20" t="n"/>
      <c r="Z281" s="20" t="n"/>
      <c r="AA281" s="20" t="n"/>
      <c r="AB281" s="20" t="n"/>
      <c r="AC281" s="21">
        <f>IF(W281="","",W281-K281)</f>
        <v/>
      </c>
      <c r="AD281" s="21">
        <f>IF(X281="","",X281-L281)</f>
        <v/>
      </c>
      <c r="AE281" s="21">
        <f>IF(Y281="","",Y281-M281)</f>
        <v/>
      </c>
      <c r="AF281" s="21">
        <f>IF(Z281="","",Z281-N281)</f>
        <v/>
      </c>
      <c r="AG281" s="21">
        <f>IF(AA281="","",AA281-O281)</f>
        <v/>
      </c>
      <c r="AH281" s="21">
        <f>IF(AB281="","",AB281-P281)</f>
        <v/>
      </c>
      <c r="AI281" s="18">
        <f>IF(COUNTA(W281:AB281)=0,"未入力",IF(COUNTA(W281:AB281)&lt;6,"一部入力",IF(COUNTIF(AC281:AH281,0)=6,"一致","差分あり")))</f>
        <v/>
      </c>
      <c r="AJ2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1" s="19" t="inlineStr"/>
      <c r="AL281" s="18" t="inlineStr">
        <is>
          <t>2026-06-29</t>
        </is>
      </c>
    </row>
    <row r="282" ht="22" customHeight="1">
      <c r="A282" s="17" t="inlineStr">
        <is>
          <t>1003601-LB20</t>
        </is>
      </c>
      <c r="B282" s="18" t="n">
        <v>1003601</v>
      </c>
      <c r="C282" s="17" t="inlineStr">
        <is>
          <t>MSatsuki01</t>
        </is>
      </c>
      <c r="D282" s="17" t="inlineStr">
        <is>
          <t>MSatsuki</t>
        </is>
      </c>
      <c r="E282" s="17" t="inlineStr">
        <is>
          <t>佐月 マリ</t>
        </is>
      </c>
      <c r="F282" s="19" t="inlineStr">
        <is>
          <t>ビジネスとスマイル</t>
        </is>
      </c>
      <c r="G282" s="18" t="inlineStr">
        <is>
          <t>A</t>
        </is>
      </c>
      <c r="H282" s="17" t="inlineStr">
        <is>
          <t>Buffer</t>
        </is>
      </c>
      <c r="I282" s="18" t="n">
        <v>20</v>
      </c>
      <c r="J282" s="18" t="n">
        <v>20</v>
      </c>
      <c r="K282" s="18" t="n">
        <v>341</v>
      </c>
      <c r="L282" s="18" t="n">
        <v>289</v>
      </c>
      <c r="M282" s="18" t="n">
        <v>304</v>
      </c>
      <c r="N282" s="18" t="n">
        <v>327</v>
      </c>
      <c r="O282" s="18" t="n">
        <v>317</v>
      </c>
      <c r="P282" s="18" t="n">
        <v>329</v>
      </c>
      <c r="Q282" s="18" t="n">
        <v>35</v>
      </c>
      <c r="R282" s="18" t="n">
        <v>29</v>
      </c>
      <c r="S282" s="18" t="n">
        <v>31</v>
      </c>
      <c r="T282" s="18" t="n">
        <v>33</v>
      </c>
      <c r="U282" s="18" t="n">
        <v>32</v>
      </c>
      <c r="V282" s="18" t="n">
        <v>33</v>
      </c>
      <c r="W282" s="20" t="n"/>
      <c r="X282" s="20" t="n"/>
      <c r="Y282" s="20" t="n"/>
      <c r="Z282" s="20" t="n"/>
      <c r="AA282" s="20" t="n"/>
      <c r="AB282" s="20" t="n"/>
      <c r="AC282" s="21">
        <f>IF(W282="","",W282-K282)</f>
        <v/>
      </c>
      <c r="AD282" s="21">
        <f>IF(X282="","",X282-L282)</f>
        <v/>
      </c>
      <c r="AE282" s="21">
        <f>IF(Y282="","",Y282-M282)</f>
        <v/>
      </c>
      <c r="AF282" s="21">
        <f>IF(Z282="","",Z282-N282)</f>
        <v/>
      </c>
      <c r="AG282" s="21">
        <f>IF(AA282="","",AA282-O282)</f>
        <v/>
      </c>
      <c r="AH282" s="21">
        <f>IF(AB282="","",AB282-P282)</f>
        <v/>
      </c>
      <c r="AI282" s="18">
        <f>IF(COUNTA(W282:AB282)=0,"未入力",IF(COUNTA(W282:AB282)&lt;6,"一部入力",IF(COUNTIF(AC282:AH282,0)=6,"一致","差分あり")))</f>
        <v/>
      </c>
      <c r="AJ2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2" s="19" t="inlineStr"/>
      <c r="AL282" s="18" t="inlineStr">
        <is>
          <t>2026-06-29</t>
        </is>
      </c>
    </row>
    <row r="283" ht="22" customHeight="1">
      <c r="A283" s="17" t="inlineStr">
        <is>
          <t>1003602-LB0</t>
        </is>
      </c>
      <c r="B283" s="18" t="n">
        <v>1003602</v>
      </c>
      <c r="C283" s="17" t="inlineStr">
        <is>
          <t>MSatsuki02</t>
        </is>
      </c>
      <c r="D283" s="17" t="inlineStr">
        <is>
          <t>MSatsuki</t>
        </is>
      </c>
      <c r="E283" s="17" t="inlineStr">
        <is>
          <t>佐月 マリ</t>
        </is>
      </c>
      <c r="F283" s="19" t="inlineStr">
        <is>
          <t>はにかむ、心かき集め</t>
        </is>
      </c>
      <c r="G283" s="18" t="inlineStr">
        <is>
          <t>S</t>
        </is>
      </c>
      <c r="H283" s="17" t="inlineStr">
        <is>
          <t>Buffer</t>
        </is>
      </c>
      <c r="I283" s="18" t="n">
        <v>0</v>
      </c>
      <c r="J283" s="18" t="n">
        <v>10</v>
      </c>
      <c r="K283" s="18" t="n">
        <v>313</v>
      </c>
      <c r="L283" s="18" t="n">
        <v>348</v>
      </c>
      <c r="M283" s="18" t="n">
        <v>332</v>
      </c>
      <c r="N283" s="18" t="n">
        <v>310</v>
      </c>
      <c r="O283" s="18" t="n">
        <v>344</v>
      </c>
      <c r="P283" s="18" t="n">
        <v>313</v>
      </c>
      <c r="Q283" s="18" t="n">
        <v>32</v>
      </c>
      <c r="R283" s="18" t="n">
        <v>35</v>
      </c>
      <c r="S283" s="18" t="n">
        <v>34</v>
      </c>
      <c r="T283" s="18" t="n">
        <v>31</v>
      </c>
      <c r="U283" s="18" t="n">
        <v>35</v>
      </c>
      <c r="V283" s="18" t="n">
        <v>32</v>
      </c>
      <c r="W283" s="20" t="n"/>
      <c r="X283" s="20" t="n"/>
      <c r="Y283" s="20" t="n"/>
      <c r="Z283" s="20" t="n"/>
      <c r="AA283" s="20" t="n"/>
      <c r="AB283" s="20" t="n"/>
      <c r="AC283" s="21">
        <f>IF(W283="","",W283-K283)</f>
        <v/>
      </c>
      <c r="AD283" s="21">
        <f>IF(X283="","",X283-L283)</f>
        <v/>
      </c>
      <c r="AE283" s="21">
        <f>IF(Y283="","",Y283-M283)</f>
        <v/>
      </c>
      <c r="AF283" s="21">
        <f>IF(Z283="","",Z283-N283)</f>
        <v/>
      </c>
      <c r="AG283" s="21">
        <f>IF(AA283="","",AA283-O283)</f>
        <v/>
      </c>
      <c r="AH283" s="21">
        <f>IF(AB283="","",AB283-P283)</f>
        <v/>
      </c>
      <c r="AI283" s="18">
        <f>IF(COUNTA(W283:AB283)=0,"未入力",IF(COUNTA(W283:AB283)&lt;6,"一部入力",IF(COUNTIF(AC283:AH283,0)=6,"一致","差分あり")))</f>
        <v/>
      </c>
      <c r="AJ2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3" s="19" t="inlineStr"/>
      <c r="AL283" s="18" t="inlineStr">
        <is>
          <t>2026-06-29</t>
        </is>
      </c>
    </row>
    <row r="284" ht="22" customHeight="1">
      <c r="A284" s="17" t="inlineStr">
        <is>
          <t>1003602-LB10</t>
        </is>
      </c>
      <c r="B284" s="18" t="n">
        <v>1003602</v>
      </c>
      <c r="C284" s="17" t="inlineStr">
        <is>
          <t>MSatsuki02</t>
        </is>
      </c>
      <c r="D284" s="17" t="inlineStr">
        <is>
          <t>MSatsuki</t>
        </is>
      </c>
      <c r="E284" s="17" t="inlineStr">
        <is>
          <t>佐月 マリ</t>
        </is>
      </c>
      <c r="F284" s="19" t="inlineStr">
        <is>
          <t>はにかむ、心かき集め</t>
        </is>
      </c>
      <c r="G284" s="18" t="inlineStr">
        <is>
          <t>S</t>
        </is>
      </c>
      <c r="H284" s="17" t="inlineStr">
        <is>
          <t>Buffer</t>
        </is>
      </c>
      <c r="I284" s="18" t="n">
        <v>10</v>
      </c>
      <c r="J284" s="18" t="n">
        <v>10</v>
      </c>
      <c r="K284" s="18" t="n">
        <v>380</v>
      </c>
      <c r="L284" s="18" t="n">
        <v>414</v>
      </c>
      <c r="M284" s="18" t="n">
        <v>401</v>
      </c>
      <c r="N284" s="18" t="n">
        <v>377</v>
      </c>
      <c r="O284" s="18" t="n">
        <v>408</v>
      </c>
      <c r="P284" s="18" t="n">
        <v>378</v>
      </c>
      <c r="Q284" s="18" t="n">
        <v>38</v>
      </c>
      <c r="R284" s="18" t="n">
        <v>42</v>
      </c>
      <c r="S284" s="18" t="n">
        <v>41</v>
      </c>
      <c r="T284" s="18" t="n">
        <v>38</v>
      </c>
      <c r="U284" s="18" t="n">
        <v>41</v>
      </c>
      <c r="V284" s="18" t="n">
        <v>38</v>
      </c>
      <c r="W284" s="20" t="n"/>
      <c r="X284" s="20" t="n"/>
      <c r="Y284" s="20" t="n"/>
      <c r="Z284" s="20" t="n"/>
      <c r="AA284" s="20" t="n"/>
      <c r="AB284" s="20" t="n"/>
      <c r="AC284" s="21">
        <f>IF(W284="","",W284-K284)</f>
        <v/>
      </c>
      <c r="AD284" s="21">
        <f>IF(X284="","",X284-L284)</f>
        <v/>
      </c>
      <c r="AE284" s="21">
        <f>IF(Y284="","",Y284-M284)</f>
        <v/>
      </c>
      <c r="AF284" s="21">
        <f>IF(Z284="","",Z284-N284)</f>
        <v/>
      </c>
      <c r="AG284" s="21">
        <f>IF(AA284="","",AA284-O284)</f>
        <v/>
      </c>
      <c r="AH284" s="21">
        <f>IF(AB284="","",AB284-P284)</f>
        <v/>
      </c>
      <c r="AI284" s="18">
        <f>IF(COUNTA(W284:AB284)=0,"未入力",IF(COUNTA(W284:AB284)&lt;6,"一部入力",IF(COUNTIF(AC284:AH284,0)=6,"一致","差分あり")))</f>
        <v/>
      </c>
      <c r="AJ2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4" s="19" t="inlineStr"/>
      <c r="AL284" s="18" t="inlineStr">
        <is>
          <t>2026-06-29</t>
        </is>
      </c>
    </row>
    <row r="285" ht="22" customHeight="1">
      <c r="A285" s="17" t="inlineStr">
        <is>
          <t>1003603-LB0</t>
        </is>
      </c>
      <c r="B285" s="18" t="n">
        <v>1003603</v>
      </c>
      <c r="C285" s="17" t="inlineStr">
        <is>
          <t>MSatsuki03</t>
        </is>
      </c>
      <c r="D285" s="17" t="inlineStr">
        <is>
          <t>MSatsuki</t>
        </is>
      </c>
      <c r="E285" s="17" t="inlineStr">
        <is>
          <t>佐月 マリ</t>
        </is>
      </c>
      <c r="F285" s="19" t="inlineStr">
        <is>
          <t>甘美のMuzzle</t>
        </is>
      </c>
      <c r="G285" s="18" t="inlineStr">
        <is>
          <t>SS</t>
        </is>
      </c>
      <c r="H285" s="17" t="inlineStr">
        <is>
          <t>Buffer</t>
        </is>
      </c>
      <c r="I285" s="18" t="n">
        <v>0</v>
      </c>
      <c r="J285" s="18" t="n">
        <v>4</v>
      </c>
      <c r="K285" s="18" t="n">
        <v>385</v>
      </c>
      <c r="L285" s="18" t="n">
        <v>375</v>
      </c>
      <c r="M285" s="18" t="n">
        <v>430</v>
      </c>
      <c r="N285" s="18" t="n">
        <v>395</v>
      </c>
      <c r="O285" s="18" t="n">
        <v>358</v>
      </c>
      <c r="P285" s="18" t="n">
        <v>338</v>
      </c>
      <c r="Q285" s="18" t="n">
        <v>39</v>
      </c>
      <c r="R285" s="18" t="n">
        <v>38</v>
      </c>
      <c r="S285" s="18" t="n">
        <v>43</v>
      </c>
      <c r="T285" s="18" t="n">
        <v>40</v>
      </c>
      <c r="U285" s="18" t="n">
        <v>36</v>
      </c>
      <c r="V285" s="18" t="n">
        <v>34</v>
      </c>
      <c r="W285" s="20" t="n"/>
      <c r="X285" s="20" t="n"/>
      <c r="Y285" s="20" t="n"/>
      <c r="Z285" s="20" t="n"/>
      <c r="AA285" s="20" t="n"/>
      <c r="AB285" s="20" t="n"/>
      <c r="AC285" s="21">
        <f>IF(W285="","",W285-K285)</f>
        <v/>
      </c>
      <c r="AD285" s="21">
        <f>IF(X285="","",X285-L285)</f>
        <v/>
      </c>
      <c r="AE285" s="21">
        <f>IF(Y285="","",Y285-M285)</f>
        <v/>
      </c>
      <c r="AF285" s="21">
        <f>IF(Z285="","",Z285-N285)</f>
        <v/>
      </c>
      <c r="AG285" s="21">
        <f>IF(AA285="","",AA285-O285)</f>
        <v/>
      </c>
      <c r="AH285" s="21">
        <f>IF(AB285="","",AB285-P285)</f>
        <v/>
      </c>
      <c r="AI285" s="18">
        <f>IF(COUNTA(W285:AB285)=0,"未入力",IF(COUNTA(W285:AB285)&lt;6,"一部入力",IF(COUNTIF(AC285:AH285,0)=6,"一致","差分あり")))</f>
        <v/>
      </c>
      <c r="AJ2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5" s="19" t="inlineStr"/>
      <c r="AL285" s="18" t="inlineStr">
        <is>
          <t>2026-06-29</t>
        </is>
      </c>
    </row>
    <row r="286" ht="22" customHeight="1">
      <c r="A286" s="17" t="inlineStr">
        <is>
          <t>1003603-LB4</t>
        </is>
      </c>
      <c r="B286" s="18" t="n">
        <v>1003603</v>
      </c>
      <c r="C286" s="17" t="inlineStr">
        <is>
          <t>MSatsuki03</t>
        </is>
      </c>
      <c r="D286" s="17" t="inlineStr">
        <is>
          <t>MSatsuki</t>
        </is>
      </c>
      <c r="E286" s="17" t="inlineStr">
        <is>
          <t>佐月 マリ</t>
        </is>
      </c>
      <c r="F286" s="19" t="inlineStr">
        <is>
          <t>甘美のMuzzle</t>
        </is>
      </c>
      <c r="G286" s="18" t="inlineStr">
        <is>
          <t>SS</t>
        </is>
      </c>
      <c r="H286" s="17" t="inlineStr">
        <is>
          <t>Buffer</t>
        </is>
      </c>
      <c r="I286" s="18" t="n">
        <v>4</v>
      </c>
      <c r="J286" s="18" t="n">
        <v>4</v>
      </c>
      <c r="K286" s="18" t="n">
        <v>474</v>
      </c>
      <c r="L286" s="18" t="n">
        <v>463</v>
      </c>
      <c r="M286" s="18" t="n">
        <v>522</v>
      </c>
      <c r="N286" s="18" t="n">
        <v>483</v>
      </c>
      <c r="O286" s="18" t="n">
        <v>444</v>
      </c>
      <c r="P286" s="18" t="n">
        <v>424</v>
      </c>
      <c r="Q286" s="18" t="n">
        <v>48</v>
      </c>
      <c r="R286" s="18" t="n">
        <v>47</v>
      </c>
      <c r="S286" s="18" t="n">
        <v>53</v>
      </c>
      <c r="T286" s="18" t="n">
        <v>49</v>
      </c>
      <c r="U286" s="18" t="n">
        <v>45</v>
      </c>
      <c r="V286" s="18" t="n">
        <v>43</v>
      </c>
      <c r="W286" s="20" t="n"/>
      <c r="X286" s="20" t="n"/>
      <c r="Y286" s="20" t="n"/>
      <c r="Z286" s="20" t="n"/>
      <c r="AA286" s="20" t="n"/>
      <c r="AB286" s="20" t="n"/>
      <c r="AC286" s="21">
        <f>IF(W286="","",W286-K286)</f>
        <v/>
      </c>
      <c r="AD286" s="21">
        <f>IF(X286="","",X286-L286)</f>
        <v/>
      </c>
      <c r="AE286" s="21">
        <f>IF(Y286="","",Y286-M286)</f>
        <v/>
      </c>
      <c r="AF286" s="21">
        <f>IF(Z286="","",Z286-N286)</f>
        <v/>
      </c>
      <c r="AG286" s="21">
        <f>IF(AA286="","",AA286-O286)</f>
        <v/>
      </c>
      <c r="AH286" s="21">
        <f>IF(AB286="","",AB286-P286)</f>
        <v/>
      </c>
      <c r="AI286" s="18">
        <f>IF(COUNTA(W286:AB286)=0,"未入力",IF(COUNTA(W286:AB286)&lt;6,"一部入力",IF(COUNTIF(AC286:AH286,0)=6,"一致","差分あり")))</f>
        <v/>
      </c>
      <c r="AJ2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6" s="19" t="inlineStr"/>
      <c r="AL286" s="18" t="inlineStr">
        <is>
          <t>2026-06-29</t>
        </is>
      </c>
    </row>
    <row r="287" ht="22" customHeight="1">
      <c r="A287" s="17" t="inlineStr">
        <is>
          <t>1003604-LB0</t>
        </is>
      </c>
      <c r="B287" s="18" t="n">
        <v>1003604</v>
      </c>
      <c r="C287" s="17" t="inlineStr">
        <is>
          <t>MSatsuki04</t>
        </is>
      </c>
      <c r="D287" s="17" t="inlineStr">
        <is>
          <t>MSatsuki</t>
        </is>
      </c>
      <c r="E287" s="17" t="inlineStr">
        <is>
          <t>佐月 マリ</t>
        </is>
      </c>
      <c r="F287" s="19" t="inlineStr">
        <is>
          <t>アサシン忍法大繁盛</t>
        </is>
      </c>
      <c r="G287" s="18" t="inlineStr">
        <is>
          <t>SS</t>
        </is>
      </c>
      <c r="H287" s="17" t="inlineStr">
        <is>
          <t>Buffer</t>
        </is>
      </c>
      <c r="I287" s="18" t="n">
        <v>0</v>
      </c>
      <c r="J287" s="18" t="n">
        <v>4</v>
      </c>
      <c r="K287" s="18" t="n">
        <v>407</v>
      </c>
      <c r="L287" s="18" t="n">
        <v>397</v>
      </c>
      <c r="M287" s="18" t="n">
        <v>453</v>
      </c>
      <c r="N287" s="18" t="n">
        <v>417</v>
      </c>
      <c r="O287" s="18" t="n">
        <v>379</v>
      </c>
      <c r="P287" s="18" t="n">
        <v>359</v>
      </c>
      <c r="Q287" s="18" t="n">
        <v>41</v>
      </c>
      <c r="R287" s="18" t="n">
        <v>40</v>
      </c>
      <c r="S287" s="18" t="n">
        <v>46</v>
      </c>
      <c r="T287" s="18" t="n">
        <v>42</v>
      </c>
      <c r="U287" s="18" t="n">
        <v>38</v>
      </c>
      <c r="V287" s="18" t="n">
        <v>36</v>
      </c>
      <c r="W287" s="20" t="n"/>
      <c r="X287" s="20" t="n"/>
      <c r="Y287" s="20" t="n"/>
      <c r="Z287" s="20" t="n"/>
      <c r="AA287" s="20" t="n"/>
      <c r="AB287" s="20" t="n"/>
      <c r="AC287" s="21">
        <f>IF(W287="","",W287-K287)</f>
        <v/>
      </c>
      <c r="AD287" s="21">
        <f>IF(X287="","",X287-L287)</f>
        <v/>
      </c>
      <c r="AE287" s="21">
        <f>IF(Y287="","",Y287-M287)</f>
        <v/>
      </c>
      <c r="AF287" s="21">
        <f>IF(Z287="","",Z287-N287)</f>
        <v/>
      </c>
      <c r="AG287" s="21">
        <f>IF(AA287="","",AA287-O287)</f>
        <v/>
      </c>
      <c r="AH287" s="21">
        <f>IF(AB287="","",AB287-P287)</f>
        <v/>
      </c>
      <c r="AI287" s="18">
        <f>IF(COUNTA(W287:AB287)=0,"未入力",IF(COUNTA(W287:AB287)&lt;6,"一部入力",IF(COUNTIF(AC287:AH287,0)=6,"一致","差分あり")))</f>
        <v/>
      </c>
      <c r="AJ2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7" s="19" t="inlineStr"/>
      <c r="AL287" s="18" t="inlineStr">
        <is>
          <t>2026-06-29</t>
        </is>
      </c>
    </row>
    <row r="288" ht="22" customHeight="1">
      <c r="A288" s="17" t="inlineStr">
        <is>
          <t>1003604-LB4</t>
        </is>
      </c>
      <c r="B288" s="18" t="n">
        <v>1003604</v>
      </c>
      <c r="C288" s="17" t="inlineStr">
        <is>
          <t>MSatsuki04</t>
        </is>
      </c>
      <c r="D288" s="17" t="inlineStr">
        <is>
          <t>MSatsuki</t>
        </is>
      </c>
      <c r="E288" s="17" t="inlineStr">
        <is>
          <t>佐月 マリ</t>
        </is>
      </c>
      <c r="F288" s="19" t="inlineStr">
        <is>
          <t>アサシン忍法大繁盛</t>
        </is>
      </c>
      <c r="G288" s="18" t="inlineStr">
        <is>
          <t>SS</t>
        </is>
      </c>
      <c r="H288" s="17" t="inlineStr">
        <is>
          <t>Buffer</t>
        </is>
      </c>
      <c r="I288" s="18" t="n">
        <v>4</v>
      </c>
      <c r="J288" s="18" t="n">
        <v>4</v>
      </c>
      <c r="K288" s="18" t="n">
        <v>497</v>
      </c>
      <c r="L288" s="18" t="n">
        <v>484</v>
      </c>
      <c r="M288" s="18" t="n">
        <v>545</v>
      </c>
      <c r="N288" s="18" t="n">
        <v>506</v>
      </c>
      <c r="O288" s="18" t="n">
        <v>465</v>
      </c>
      <c r="P288" s="18" t="n">
        <v>446</v>
      </c>
      <c r="Q288" s="18" t="n">
        <v>50</v>
      </c>
      <c r="R288" s="18" t="n">
        <v>49</v>
      </c>
      <c r="S288" s="18" t="n">
        <v>55</v>
      </c>
      <c r="T288" s="18" t="n">
        <v>51</v>
      </c>
      <c r="U288" s="18" t="n">
        <v>47</v>
      </c>
      <c r="V288" s="18" t="n">
        <v>45</v>
      </c>
      <c r="W288" s="20" t="n"/>
      <c r="X288" s="20" t="n"/>
      <c r="Y288" s="20" t="n"/>
      <c r="Z288" s="20" t="n"/>
      <c r="AA288" s="20" t="n"/>
      <c r="AB288" s="20" t="n"/>
      <c r="AC288" s="21">
        <f>IF(W288="","",W288-K288)</f>
        <v/>
      </c>
      <c r="AD288" s="21">
        <f>IF(X288="","",X288-L288)</f>
        <v/>
      </c>
      <c r="AE288" s="21">
        <f>IF(Y288="","",Y288-M288)</f>
        <v/>
      </c>
      <c r="AF288" s="21">
        <f>IF(Z288="","",Z288-N288)</f>
        <v/>
      </c>
      <c r="AG288" s="21">
        <f>IF(AA288="","",AA288-O288)</f>
        <v/>
      </c>
      <c r="AH288" s="21">
        <f>IF(AB288="","",AB288-P288)</f>
        <v/>
      </c>
      <c r="AI288" s="18">
        <f>IF(COUNTA(W288:AB288)=0,"未入力",IF(COUNTA(W288:AB288)&lt;6,"一部入力",IF(COUNTIF(AC288:AH288,0)=6,"一致","差分あり")))</f>
        <v/>
      </c>
      <c r="AJ2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8" s="19" t="inlineStr"/>
      <c r="AL288" s="18" t="inlineStr">
        <is>
          <t>2026-06-29</t>
        </is>
      </c>
    </row>
    <row r="289" ht="22" customHeight="1">
      <c r="A289" s="17" t="inlineStr">
        <is>
          <t>1003605-LB0</t>
        </is>
      </c>
      <c r="B289" s="18" t="n">
        <v>1003605</v>
      </c>
      <c r="C289" s="17" t="inlineStr">
        <is>
          <t>MSatsuki05</t>
        </is>
      </c>
      <c r="D289" s="17" t="inlineStr">
        <is>
          <t>MSatsuki</t>
        </is>
      </c>
      <c r="E289" s="17" t="inlineStr">
        <is>
          <t>佐月 マリ</t>
        </is>
      </c>
      <c r="F289" s="19" t="inlineStr">
        <is>
          <t>Crying Tears</t>
        </is>
      </c>
      <c r="G289" s="18" t="inlineStr">
        <is>
          <t>SS</t>
        </is>
      </c>
      <c r="H289" s="17" t="inlineStr">
        <is>
          <t>Attacker</t>
        </is>
      </c>
      <c r="I289" s="18" t="n">
        <v>0</v>
      </c>
      <c r="J289" s="18" t="n">
        <v>4</v>
      </c>
      <c r="K289" s="18" t="n">
        <v>443</v>
      </c>
      <c r="L289" s="18" t="n">
        <v>362</v>
      </c>
      <c r="M289" s="18" t="n">
        <v>403</v>
      </c>
      <c r="N289" s="18" t="n">
        <v>404</v>
      </c>
      <c r="O289" s="18" t="n">
        <v>392</v>
      </c>
      <c r="P289" s="18" t="n">
        <v>407</v>
      </c>
      <c r="Q289" s="18" t="n">
        <v>45</v>
      </c>
      <c r="R289" s="18" t="n">
        <v>37</v>
      </c>
      <c r="S289" s="18" t="n">
        <v>41</v>
      </c>
      <c r="T289" s="18" t="n">
        <v>41</v>
      </c>
      <c r="U289" s="18" t="n">
        <v>40</v>
      </c>
      <c r="V289" s="18" t="n">
        <v>41</v>
      </c>
      <c r="W289" s="20" t="n"/>
      <c r="X289" s="20" t="n"/>
      <c r="Y289" s="20" t="n"/>
      <c r="Z289" s="20" t="n"/>
      <c r="AA289" s="20" t="n"/>
      <c r="AB289" s="20" t="n"/>
      <c r="AC289" s="21">
        <f>IF(W289="","",W289-K289)</f>
        <v/>
      </c>
      <c r="AD289" s="21">
        <f>IF(X289="","",X289-L289)</f>
        <v/>
      </c>
      <c r="AE289" s="21">
        <f>IF(Y289="","",Y289-M289)</f>
        <v/>
      </c>
      <c r="AF289" s="21">
        <f>IF(Z289="","",Z289-N289)</f>
        <v/>
      </c>
      <c r="AG289" s="21">
        <f>IF(AA289="","",AA289-O289)</f>
        <v/>
      </c>
      <c r="AH289" s="21">
        <f>IF(AB289="","",AB289-P289)</f>
        <v/>
      </c>
      <c r="AI289" s="18">
        <f>IF(COUNTA(W289:AB289)=0,"未入力",IF(COUNTA(W289:AB289)&lt;6,"一部入力",IF(COUNTIF(AC289:AH289,0)=6,"一致","差分あり")))</f>
        <v/>
      </c>
      <c r="AJ2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89" s="19" t="inlineStr"/>
      <c r="AL289" s="18" t="inlineStr">
        <is>
          <t>2026-06-29</t>
        </is>
      </c>
    </row>
    <row r="290" ht="22" customHeight="1">
      <c r="A290" s="17" t="inlineStr">
        <is>
          <t>1003605-LB4</t>
        </is>
      </c>
      <c r="B290" s="18" t="n">
        <v>1003605</v>
      </c>
      <c r="C290" s="17" t="inlineStr">
        <is>
          <t>MSatsuki05</t>
        </is>
      </c>
      <c r="D290" s="17" t="inlineStr">
        <is>
          <t>MSatsuki</t>
        </is>
      </c>
      <c r="E290" s="17" t="inlineStr">
        <is>
          <t>佐月 マリ</t>
        </is>
      </c>
      <c r="F290" s="19" t="inlineStr">
        <is>
          <t>Crying Tears</t>
        </is>
      </c>
      <c r="G290" s="18" t="inlineStr">
        <is>
          <t>SS</t>
        </is>
      </c>
      <c r="H290" s="17" t="inlineStr">
        <is>
          <t>Attacker</t>
        </is>
      </c>
      <c r="I290" s="18" t="n">
        <v>4</v>
      </c>
      <c r="J290" s="18" t="n">
        <v>4</v>
      </c>
      <c r="K290" s="18" t="n">
        <v>532</v>
      </c>
      <c r="L290" s="18" t="n">
        <v>450</v>
      </c>
      <c r="M290" s="18" t="n">
        <v>495</v>
      </c>
      <c r="N290" s="18" t="n">
        <v>493</v>
      </c>
      <c r="O290" s="18" t="n">
        <v>478</v>
      </c>
      <c r="P290" s="18" t="n">
        <v>493</v>
      </c>
      <c r="Q290" s="18" t="n">
        <v>54</v>
      </c>
      <c r="R290" s="18" t="n">
        <v>45</v>
      </c>
      <c r="S290" s="18" t="n">
        <v>50</v>
      </c>
      <c r="T290" s="18" t="n">
        <v>50</v>
      </c>
      <c r="U290" s="18" t="n">
        <v>48</v>
      </c>
      <c r="V290" s="18" t="n">
        <v>50</v>
      </c>
      <c r="W290" s="20" t="n"/>
      <c r="X290" s="20" t="n"/>
      <c r="Y290" s="20" t="n"/>
      <c r="Z290" s="20" t="n"/>
      <c r="AA290" s="20" t="n"/>
      <c r="AB290" s="20" t="n"/>
      <c r="AC290" s="21">
        <f>IF(W290="","",W290-K290)</f>
        <v/>
      </c>
      <c r="AD290" s="21">
        <f>IF(X290="","",X290-L290)</f>
        <v/>
      </c>
      <c r="AE290" s="21">
        <f>IF(Y290="","",Y290-M290)</f>
        <v/>
      </c>
      <c r="AF290" s="21">
        <f>IF(Z290="","",Z290-N290)</f>
        <v/>
      </c>
      <c r="AG290" s="21">
        <f>IF(AA290="","",AA290-O290)</f>
        <v/>
      </c>
      <c r="AH290" s="21">
        <f>IF(AB290="","",AB290-P290)</f>
        <v/>
      </c>
      <c r="AI290" s="18">
        <f>IF(COUNTA(W290:AB290)=0,"未入力",IF(COUNTA(W290:AB290)&lt;6,"一部入力",IF(COUNTIF(AC290:AH290,0)=6,"一致","差分あり")))</f>
        <v/>
      </c>
      <c r="AJ2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0" s="19" t="inlineStr"/>
      <c r="AL290" s="18" t="inlineStr">
        <is>
          <t>2026-06-29</t>
        </is>
      </c>
    </row>
    <row r="291" ht="22" customHeight="1">
      <c r="A291" s="17" t="inlineStr">
        <is>
          <t>1003606-LB0</t>
        </is>
      </c>
      <c r="B291" s="18" t="n">
        <v>1003606</v>
      </c>
      <c r="C291" s="17" t="inlineStr">
        <is>
          <t>MSatsuki06</t>
        </is>
      </c>
      <c r="D291" s="17" t="inlineStr">
        <is>
          <t>MSatsuki</t>
        </is>
      </c>
      <c r="E291" s="17" t="inlineStr">
        <is>
          <t>佐月 マリ</t>
        </is>
      </c>
      <c r="F291" s="19" t="inlineStr">
        <is>
          <t>ハイアー・アズ・ザ・サン</t>
        </is>
      </c>
      <c r="G291" s="18" t="inlineStr">
        <is>
          <t>SS</t>
        </is>
      </c>
      <c r="H291" s="17" t="inlineStr">
        <is>
          <t>Attacker</t>
        </is>
      </c>
      <c r="I291" s="18" t="n">
        <v>0</v>
      </c>
      <c r="J291" s="18" t="n">
        <v>4</v>
      </c>
      <c r="K291" s="18" t="n">
        <v>443</v>
      </c>
      <c r="L291" s="18" t="n">
        <v>362</v>
      </c>
      <c r="M291" s="18" t="n">
        <v>403</v>
      </c>
      <c r="N291" s="18" t="n">
        <v>404</v>
      </c>
      <c r="O291" s="18" t="n">
        <v>392</v>
      </c>
      <c r="P291" s="18" t="n">
        <v>407</v>
      </c>
      <c r="Q291" s="18" t="n">
        <v>45</v>
      </c>
      <c r="R291" s="18" t="n">
        <v>37</v>
      </c>
      <c r="S291" s="18" t="n">
        <v>41</v>
      </c>
      <c r="T291" s="18" t="n">
        <v>41</v>
      </c>
      <c r="U291" s="18" t="n">
        <v>40</v>
      </c>
      <c r="V291" s="18" t="n">
        <v>41</v>
      </c>
      <c r="W291" s="20" t="n"/>
      <c r="X291" s="20" t="n"/>
      <c r="Y291" s="20" t="n"/>
      <c r="Z291" s="20" t="n"/>
      <c r="AA291" s="20" t="n"/>
      <c r="AB291" s="20" t="n"/>
      <c r="AC291" s="21">
        <f>IF(W291="","",W291-K291)</f>
        <v/>
      </c>
      <c r="AD291" s="21">
        <f>IF(X291="","",X291-L291)</f>
        <v/>
      </c>
      <c r="AE291" s="21">
        <f>IF(Y291="","",Y291-M291)</f>
        <v/>
      </c>
      <c r="AF291" s="21">
        <f>IF(Z291="","",Z291-N291)</f>
        <v/>
      </c>
      <c r="AG291" s="21">
        <f>IF(AA291="","",AA291-O291)</f>
        <v/>
      </c>
      <c r="AH291" s="21">
        <f>IF(AB291="","",AB291-P291)</f>
        <v/>
      </c>
      <c r="AI291" s="18">
        <f>IF(COUNTA(W291:AB291)=0,"未入力",IF(COUNTA(W291:AB291)&lt;6,"一部入力",IF(COUNTIF(AC291:AH291,0)=6,"一致","差分あり")))</f>
        <v/>
      </c>
      <c r="AJ2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1" s="19" t="inlineStr"/>
      <c r="AL291" s="18" t="inlineStr">
        <is>
          <t>2026-06-29</t>
        </is>
      </c>
    </row>
    <row r="292" ht="22" customHeight="1">
      <c r="A292" s="17" t="inlineStr">
        <is>
          <t>1003606-LB4</t>
        </is>
      </c>
      <c r="B292" s="18" t="n">
        <v>1003606</v>
      </c>
      <c r="C292" s="17" t="inlineStr">
        <is>
          <t>MSatsuki06</t>
        </is>
      </c>
      <c r="D292" s="17" t="inlineStr">
        <is>
          <t>MSatsuki</t>
        </is>
      </c>
      <c r="E292" s="17" t="inlineStr">
        <is>
          <t>佐月 マリ</t>
        </is>
      </c>
      <c r="F292" s="19" t="inlineStr">
        <is>
          <t>ハイアー・アズ・ザ・サン</t>
        </is>
      </c>
      <c r="G292" s="18" t="inlineStr">
        <is>
          <t>SS</t>
        </is>
      </c>
      <c r="H292" s="17" t="inlineStr">
        <is>
          <t>Attacker</t>
        </is>
      </c>
      <c r="I292" s="18" t="n">
        <v>4</v>
      </c>
      <c r="J292" s="18" t="n">
        <v>4</v>
      </c>
      <c r="K292" s="18" t="n">
        <v>532</v>
      </c>
      <c r="L292" s="18" t="n">
        <v>450</v>
      </c>
      <c r="M292" s="18" t="n">
        <v>495</v>
      </c>
      <c r="N292" s="18" t="n">
        <v>493</v>
      </c>
      <c r="O292" s="18" t="n">
        <v>478</v>
      </c>
      <c r="P292" s="18" t="n">
        <v>493</v>
      </c>
      <c r="Q292" s="18" t="n">
        <v>54</v>
      </c>
      <c r="R292" s="18" t="n">
        <v>45</v>
      </c>
      <c r="S292" s="18" t="n">
        <v>50</v>
      </c>
      <c r="T292" s="18" t="n">
        <v>50</v>
      </c>
      <c r="U292" s="18" t="n">
        <v>48</v>
      </c>
      <c r="V292" s="18" t="n">
        <v>50</v>
      </c>
      <c r="W292" s="20" t="n"/>
      <c r="X292" s="20" t="n"/>
      <c r="Y292" s="20" t="n"/>
      <c r="Z292" s="20" t="n"/>
      <c r="AA292" s="20" t="n"/>
      <c r="AB292" s="20" t="n"/>
      <c r="AC292" s="21">
        <f>IF(W292="","",W292-K292)</f>
        <v/>
      </c>
      <c r="AD292" s="21">
        <f>IF(X292="","",X292-L292)</f>
        <v/>
      </c>
      <c r="AE292" s="21">
        <f>IF(Y292="","",Y292-M292)</f>
        <v/>
      </c>
      <c r="AF292" s="21">
        <f>IF(Z292="","",Z292-N292)</f>
        <v/>
      </c>
      <c r="AG292" s="21">
        <f>IF(AA292="","",AA292-O292)</f>
        <v/>
      </c>
      <c r="AH292" s="21">
        <f>IF(AB292="","",AB292-P292)</f>
        <v/>
      </c>
      <c r="AI292" s="18">
        <f>IF(COUNTA(W292:AB292)=0,"未入力",IF(COUNTA(W292:AB292)&lt;6,"一部入力",IF(COUNTIF(AC292:AH292,0)=6,"一致","差分あり")))</f>
        <v/>
      </c>
      <c r="AJ2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2" s="19" t="inlineStr"/>
      <c r="AL292" s="18" t="inlineStr">
        <is>
          <t>2026-06-29</t>
        </is>
      </c>
    </row>
    <row r="293" ht="22" customHeight="1">
      <c r="A293" s="17" t="inlineStr">
        <is>
          <t>1003607-LB0</t>
        </is>
      </c>
      <c r="B293" s="18" t="n">
        <v>1003607</v>
      </c>
      <c r="C293" s="17" t="inlineStr">
        <is>
          <t>MSatsuki07</t>
        </is>
      </c>
      <c r="D293" s="17" t="inlineStr">
        <is>
          <t>MSatsuki</t>
        </is>
      </c>
      <c r="E293" s="17" t="inlineStr">
        <is>
          <t>佐月 マリ</t>
        </is>
      </c>
      <c r="F293" s="19" t="inlineStr">
        <is>
          <t>魔王に仕えし混沌の謀臣</t>
        </is>
      </c>
      <c r="G293" s="18" t="inlineStr">
        <is>
          <t>SS</t>
        </is>
      </c>
      <c r="H293" s="17" t="inlineStr">
        <is>
          <t>Debuffer</t>
        </is>
      </c>
      <c r="I293" s="18" t="n">
        <v>0</v>
      </c>
      <c r="J293" s="18" t="n">
        <v>4</v>
      </c>
      <c r="K293" s="18" t="n">
        <v>407</v>
      </c>
      <c r="L293" s="18" t="n">
        <v>397</v>
      </c>
      <c r="M293" s="18" t="n">
        <v>453</v>
      </c>
      <c r="N293" s="18" t="n">
        <v>417</v>
      </c>
      <c r="O293" s="18" t="n">
        <v>379</v>
      </c>
      <c r="P293" s="18" t="n">
        <v>359</v>
      </c>
      <c r="Q293" s="18" t="n">
        <v>41</v>
      </c>
      <c r="R293" s="18" t="n">
        <v>40</v>
      </c>
      <c r="S293" s="18" t="n">
        <v>46</v>
      </c>
      <c r="T293" s="18" t="n">
        <v>42</v>
      </c>
      <c r="U293" s="18" t="n">
        <v>38</v>
      </c>
      <c r="V293" s="18" t="n">
        <v>36</v>
      </c>
      <c r="W293" s="20" t="n"/>
      <c r="X293" s="20" t="n"/>
      <c r="Y293" s="20" t="n"/>
      <c r="Z293" s="20" t="n"/>
      <c r="AA293" s="20" t="n"/>
      <c r="AB293" s="20" t="n"/>
      <c r="AC293" s="21">
        <f>IF(W293="","",W293-K293)</f>
        <v/>
      </c>
      <c r="AD293" s="21">
        <f>IF(X293="","",X293-L293)</f>
        <v/>
      </c>
      <c r="AE293" s="21">
        <f>IF(Y293="","",Y293-M293)</f>
        <v/>
      </c>
      <c r="AF293" s="21">
        <f>IF(Z293="","",Z293-N293)</f>
        <v/>
      </c>
      <c r="AG293" s="21">
        <f>IF(AA293="","",AA293-O293)</f>
        <v/>
      </c>
      <c r="AH293" s="21">
        <f>IF(AB293="","",AB293-P293)</f>
        <v/>
      </c>
      <c r="AI293" s="18">
        <f>IF(COUNTA(W293:AB293)=0,"未入力",IF(COUNTA(W293:AB293)&lt;6,"一部入力",IF(COUNTIF(AC293:AH293,0)=6,"一致","差分あり")))</f>
        <v/>
      </c>
      <c r="AJ2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3" s="19" t="inlineStr"/>
      <c r="AL293" s="18" t="inlineStr">
        <is>
          <t>2026-06-29</t>
        </is>
      </c>
    </row>
    <row r="294" ht="22" customHeight="1">
      <c r="A294" s="17" t="inlineStr">
        <is>
          <t>1003607-LB4</t>
        </is>
      </c>
      <c r="B294" s="18" t="n">
        <v>1003607</v>
      </c>
      <c r="C294" s="17" t="inlineStr">
        <is>
          <t>MSatsuki07</t>
        </is>
      </c>
      <c r="D294" s="17" t="inlineStr">
        <is>
          <t>MSatsuki</t>
        </is>
      </c>
      <c r="E294" s="17" t="inlineStr">
        <is>
          <t>佐月 マリ</t>
        </is>
      </c>
      <c r="F294" s="19" t="inlineStr">
        <is>
          <t>魔王に仕えし混沌の謀臣</t>
        </is>
      </c>
      <c r="G294" s="18" t="inlineStr">
        <is>
          <t>SS</t>
        </is>
      </c>
      <c r="H294" s="17" t="inlineStr">
        <is>
          <t>Debuffer</t>
        </is>
      </c>
      <c r="I294" s="18" t="n">
        <v>4</v>
      </c>
      <c r="J294" s="18" t="n">
        <v>4</v>
      </c>
      <c r="K294" s="18" t="n">
        <v>497</v>
      </c>
      <c r="L294" s="18" t="n">
        <v>484</v>
      </c>
      <c r="M294" s="18" t="n">
        <v>545</v>
      </c>
      <c r="N294" s="18" t="n">
        <v>506</v>
      </c>
      <c r="O294" s="18" t="n">
        <v>465</v>
      </c>
      <c r="P294" s="18" t="n">
        <v>446</v>
      </c>
      <c r="Q294" s="18" t="n">
        <v>50</v>
      </c>
      <c r="R294" s="18" t="n">
        <v>49</v>
      </c>
      <c r="S294" s="18" t="n">
        <v>55</v>
      </c>
      <c r="T294" s="18" t="n">
        <v>51</v>
      </c>
      <c r="U294" s="18" t="n">
        <v>47</v>
      </c>
      <c r="V294" s="18" t="n">
        <v>45</v>
      </c>
      <c r="W294" s="20" t="n"/>
      <c r="X294" s="20" t="n"/>
      <c r="Y294" s="20" t="n"/>
      <c r="Z294" s="20" t="n"/>
      <c r="AA294" s="20" t="n"/>
      <c r="AB294" s="20" t="n"/>
      <c r="AC294" s="21">
        <f>IF(W294="","",W294-K294)</f>
        <v/>
      </c>
      <c r="AD294" s="21">
        <f>IF(X294="","",X294-L294)</f>
        <v/>
      </c>
      <c r="AE294" s="21">
        <f>IF(Y294="","",Y294-M294)</f>
        <v/>
      </c>
      <c r="AF294" s="21">
        <f>IF(Z294="","",Z294-N294)</f>
        <v/>
      </c>
      <c r="AG294" s="21">
        <f>IF(AA294="","",AA294-O294)</f>
        <v/>
      </c>
      <c r="AH294" s="21">
        <f>IF(AB294="","",AB294-P294)</f>
        <v/>
      </c>
      <c r="AI294" s="18">
        <f>IF(COUNTA(W294:AB294)=0,"未入力",IF(COUNTA(W294:AB294)&lt;6,"一部入力",IF(COUNTIF(AC294:AH294,0)=6,"一致","差分あり")))</f>
        <v/>
      </c>
      <c r="AJ2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4" s="19" t="inlineStr"/>
      <c r="AL294" s="18" t="inlineStr">
        <is>
          <t>2026-06-29</t>
        </is>
      </c>
    </row>
    <row r="295" ht="22" customHeight="1">
      <c r="A295" s="17" t="inlineStr">
        <is>
          <t>1003608-LB0</t>
        </is>
      </c>
      <c r="B295" s="18" t="n">
        <v>1003608</v>
      </c>
      <c r="C295" s="17" t="inlineStr">
        <is>
          <t>MSatsuki08</t>
        </is>
      </c>
      <c r="D295" s="17" t="inlineStr">
        <is>
          <t>MSatsuki</t>
        </is>
      </c>
      <c r="E295" s="17" t="inlineStr">
        <is>
          <t>佐月 マリ</t>
        </is>
      </c>
      <c r="F295" s="19" t="inlineStr">
        <is>
          <t>プライスレス・スマイル</t>
        </is>
      </c>
      <c r="G295" s="18" t="inlineStr">
        <is>
          <t>S</t>
        </is>
      </c>
      <c r="H295" s="17" t="inlineStr">
        <is>
          <t>Buffer</t>
        </is>
      </c>
      <c r="I295" s="18" t="n">
        <v>0</v>
      </c>
      <c r="J295" s="18" t="n">
        <v>10</v>
      </c>
      <c r="K295" s="18" t="n">
        <v>324</v>
      </c>
      <c r="L295" s="18" t="n">
        <v>316</v>
      </c>
      <c r="M295" s="18" t="n">
        <v>363</v>
      </c>
      <c r="N295" s="18" t="n">
        <v>354</v>
      </c>
      <c r="O295" s="18" t="n">
        <v>301</v>
      </c>
      <c r="P295" s="18" t="n">
        <v>302</v>
      </c>
      <c r="Q295" s="18" t="n">
        <v>33</v>
      </c>
      <c r="R295" s="18" t="n">
        <v>32</v>
      </c>
      <c r="S295" s="18" t="n">
        <v>37</v>
      </c>
      <c r="T295" s="18" t="n">
        <v>36</v>
      </c>
      <c r="U295" s="18" t="n">
        <v>31</v>
      </c>
      <c r="V295" s="18" t="n">
        <v>31</v>
      </c>
      <c r="W295" s="20" t="n"/>
      <c r="X295" s="20" t="n"/>
      <c r="Y295" s="20" t="n"/>
      <c r="Z295" s="20" t="n"/>
      <c r="AA295" s="20" t="n"/>
      <c r="AB295" s="20" t="n"/>
      <c r="AC295" s="21">
        <f>IF(W295="","",W295-K295)</f>
        <v/>
      </c>
      <c r="AD295" s="21">
        <f>IF(X295="","",X295-L295)</f>
        <v/>
      </c>
      <c r="AE295" s="21">
        <f>IF(Y295="","",Y295-M295)</f>
        <v/>
      </c>
      <c r="AF295" s="21">
        <f>IF(Z295="","",Z295-N295)</f>
        <v/>
      </c>
      <c r="AG295" s="21">
        <f>IF(AA295="","",AA295-O295)</f>
        <v/>
      </c>
      <c r="AH295" s="21">
        <f>IF(AB295="","",AB295-P295)</f>
        <v/>
      </c>
      <c r="AI295" s="18">
        <f>IF(COUNTA(W295:AB295)=0,"未入力",IF(COUNTA(W295:AB295)&lt;6,"一部入力",IF(COUNTIF(AC295:AH295,0)=6,"一致","差分あり")))</f>
        <v/>
      </c>
      <c r="AJ2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5" s="19" t="inlineStr"/>
      <c r="AL295" s="18" t="inlineStr">
        <is>
          <t>2026-06-29</t>
        </is>
      </c>
    </row>
    <row r="296" ht="22" customHeight="1">
      <c r="A296" s="17" t="inlineStr">
        <is>
          <t>1003608-LB10</t>
        </is>
      </c>
      <c r="B296" s="18" t="n">
        <v>1003608</v>
      </c>
      <c r="C296" s="17" t="inlineStr">
        <is>
          <t>MSatsuki08</t>
        </is>
      </c>
      <c r="D296" s="17" t="inlineStr">
        <is>
          <t>MSatsuki</t>
        </is>
      </c>
      <c r="E296" s="17" t="inlineStr">
        <is>
          <t>佐月 マリ</t>
        </is>
      </c>
      <c r="F296" s="19" t="inlineStr">
        <is>
          <t>プライスレス・スマイル</t>
        </is>
      </c>
      <c r="G296" s="18" t="inlineStr">
        <is>
          <t>S</t>
        </is>
      </c>
      <c r="H296" s="17" t="inlineStr">
        <is>
          <t>Buffer</t>
        </is>
      </c>
      <c r="I296" s="18" t="n">
        <v>10</v>
      </c>
      <c r="J296" s="18" t="n">
        <v>10</v>
      </c>
      <c r="K296" s="18" t="n">
        <v>391</v>
      </c>
      <c r="L296" s="18" t="n">
        <v>381</v>
      </c>
      <c r="M296" s="18" t="n">
        <v>435</v>
      </c>
      <c r="N296" s="18" t="n">
        <v>421</v>
      </c>
      <c r="O296" s="18" t="n">
        <v>365</v>
      </c>
      <c r="P296" s="18" t="n">
        <v>367</v>
      </c>
      <c r="Q296" s="18" t="n">
        <v>40</v>
      </c>
      <c r="R296" s="18" t="n">
        <v>39</v>
      </c>
      <c r="S296" s="18" t="n">
        <v>44</v>
      </c>
      <c r="T296" s="18" t="n">
        <v>43</v>
      </c>
      <c r="U296" s="18" t="n">
        <v>37</v>
      </c>
      <c r="V296" s="18" t="n">
        <v>37</v>
      </c>
      <c r="W296" s="20" t="n"/>
      <c r="X296" s="20" t="n"/>
      <c r="Y296" s="20" t="n"/>
      <c r="Z296" s="20" t="n"/>
      <c r="AA296" s="20" t="n"/>
      <c r="AB296" s="20" t="n"/>
      <c r="AC296" s="21">
        <f>IF(W296="","",W296-K296)</f>
        <v/>
      </c>
      <c r="AD296" s="21">
        <f>IF(X296="","",X296-L296)</f>
        <v/>
      </c>
      <c r="AE296" s="21">
        <f>IF(Y296="","",Y296-M296)</f>
        <v/>
      </c>
      <c r="AF296" s="21">
        <f>IF(Z296="","",Z296-N296)</f>
        <v/>
      </c>
      <c r="AG296" s="21">
        <f>IF(AA296="","",AA296-O296)</f>
        <v/>
      </c>
      <c r="AH296" s="21">
        <f>IF(AB296="","",AB296-P296)</f>
        <v/>
      </c>
      <c r="AI296" s="18">
        <f>IF(COUNTA(W296:AB296)=0,"未入力",IF(COUNTA(W296:AB296)&lt;6,"一部入力",IF(COUNTIF(AC296:AH296,0)=6,"一致","差分あり")))</f>
        <v/>
      </c>
      <c r="AJ2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6" s="19" t="inlineStr"/>
      <c r="AL296" s="18" t="inlineStr">
        <is>
          <t>2026-06-29</t>
        </is>
      </c>
    </row>
    <row r="297" ht="22" customHeight="1">
      <c r="A297" s="17" t="inlineStr">
        <is>
          <t>1004101-LB0</t>
        </is>
      </c>
      <c r="B297" s="18" t="n">
        <v>1004101</v>
      </c>
      <c r="C297" s="17" t="inlineStr">
        <is>
          <t>YShirakawa01</t>
        </is>
      </c>
      <c r="D297" s="17" t="inlineStr">
        <is>
          <t>YShirakawa</t>
        </is>
      </c>
      <c r="E297" s="17" t="inlineStr">
        <is>
          <t>白河 ユイナ</t>
        </is>
      </c>
      <c r="F297" s="19" t="inlineStr">
        <is>
          <t>Ally</t>
        </is>
      </c>
      <c r="G297" s="18" t="inlineStr">
        <is>
          <t>A</t>
        </is>
      </c>
      <c r="H297" s="17" t="inlineStr">
        <is>
          <t>Attacker</t>
        </is>
      </c>
      <c r="I297" s="18" t="n">
        <v>0</v>
      </c>
      <c r="J297" s="18" t="n">
        <v>20</v>
      </c>
      <c r="K297" s="18" t="n">
        <v>298</v>
      </c>
      <c r="L297" s="18" t="n">
        <v>272</v>
      </c>
      <c r="M297" s="18" t="n">
        <v>295</v>
      </c>
      <c r="N297" s="18" t="n">
        <v>290</v>
      </c>
      <c r="O297" s="18" t="n">
        <v>244</v>
      </c>
      <c r="P297" s="18" t="n">
        <v>256</v>
      </c>
      <c r="Q297" s="18" t="n">
        <v>30</v>
      </c>
      <c r="R297" s="18" t="n">
        <v>28</v>
      </c>
      <c r="S297" s="18" t="n">
        <v>30</v>
      </c>
      <c r="T297" s="18" t="n">
        <v>29</v>
      </c>
      <c r="U297" s="18" t="n">
        <v>25</v>
      </c>
      <c r="V297" s="18" t="n">
        <v>26</v>
      </c>
      <c r="W297" s="20" t="n"/>
      <c r="X297" s="20" t="n"/>
      <c r="Y297" s="20" t="n"/>
      <c r="Z297" s="20" t="n"/>
      <c r="AA297" s="20" t="n"/>
      <c r="AB297" s="20" t="n"/>
      <c r="AC297" s="21">
        <f>IF(W297="","",W297-K297)</f>
        <v/>
      </c>
      <c r="AD297" s="21">
        <f>IF(X297="","",X297-L297)</f>
        <v/>
      </c>
      <c r="AE297" s="21">
        <f>IF(Y297="","",Y297-M297)</f>
        <v/>
      </c>
      <c r="AF297" s="21">
        <f>IF(Z297="","",Z297-N297)</f>
        <v/>
      </c>
      <c r="AG297" s="21">
        <f>IF(AA297="","",AA297-O297)</f>
        <v/>
      </c>
      <c r="AH297" s="21">
        <f>IF(AB297="","",AB297-P297)</f>
        <v/>
      </c>
      <c r="AI297" s="18">
        <f>IF(COUNTA(W297:AB297)=0,"未入力",IF(COUNTA(W297:AB297)&lt;6,"一部入力",IF(COUNTIF(AC297:AH297,0)=6,"一致","差分あり")))</f>
        <v/>
      </c>
      <c r="AJ2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7" s="19" t="inlineStr"/>
      <c r="AL297" s="18" t="inlineStr">
        <is>
          <t>2026-06-29</t>
        </is>
      </c>
    </row>
    <row r="298" ht="22" customHeight="1">
      <c r="A298" s="17" t="inlineStr">
        <is>
          <t>1004101-LB20</t>
        </is>
      </c>
      <c r="B298" s="18" t="n">
        <v>1004101</v>
      </c>
      <c r="C298" s="17" t="inlineStr">
        <is>
          <t>YShirakawa01</t>
        </is>
      </c>
      <c r="D298" s="17" t="inlineStr">
        <is>
          <t>YShirakawa</t>
        </is>
      </c>
      <c r="E298" s="17" t="inlineStr">
        <is>
          <t>白河 ユイナ</t>
        </is>
      </c>
      <c r="F298" s="19" t="inlineStr">
        <is>
          <t>Ally</t>
        </is>
      </c>
      <c r="G298" s="18" t="inlineStr">
        <is>
          <t>A</t>
        </is>
      </c>
      <c r="H298" s="17" t="inlineStr">
        <is>
          <t>Attacker</t>
        </is>
      </c>
      <c r="I298" s="18" t="n">
        <v>20</v>
      </c>
      <c r="J298" s="18" t="n">
        <v>20</v>
      </c>
      <c r="K298" s="18" t="n">
        <v>345</v>
      </c>
      <c r="L298" s="18" t="n">
        <v>314</v>
      </c>
      <c r="M298" s="18" t="n">
        <v>341</v>
      </c>
      <c r="N298" s="18" t="n">
        <v>334</v>
      </c>
      <c r="O298" s="18" t="n">
        <v>288</v>
      </c>
      <c r="P298" s="18" t="n">
        <v>302</v>
      </c>
      <c r="Q298" s="18" t="n">
        <v>35</v>
      </c>
      <c r="R298" s="18" t="n">
        <v>32</v>
      </c>
      <c r="S298" s="18" t="n">
        <v>35</v>
      </c>
      <c r="T298" s="18" t="n">
        <v>34</v>
      </c>
      <c r="U298" s="18" t="n">
        <v>29</v>
      </c>
      <c r="V298" s="18" t="n">
        <v>31</v>
      </c>
      <c r="W298" s="20" t="n"/>
      <c r="X298" s="20" t="n"/>
      <c r="Y298" s="20" t="n"/>
      <c r="Z298" s="20" t="n"/>
      <c r="AA298" s="20" t="n"/>
      <c r="AB298" s="20" t="n"/>
      <c r="AC298" s="21">
        <f>IF(W298="","",W298-K298)</f>
        <v/>
      </c>
      <c r="AD298" s="21">
        <f>IF(X298="","",X298-L298)</f>
        <v/>
      </c>
      <c r="AE298" s="21">
        <f>IF(Y298="","",Y298-M298)</f>
        <v/>
      </c>
      <c r="AF298" s="21">
        <f>IF(Z298="","",Z298-N298)</f>
        <v/>
      </c>
      <c r="AG298" s="21">
        <f>IF(AA298="","",AA298-O298)</f>
        <v/>
      </c>
      <c r="AH298" s="21">
        <f>IF(AB298="","",AB298-P298)</f>
        <v/>
      </c>
      <c r="AI298" s="18">
        <f>IF(COUNTA(W298:AB298)=0,"未入力",IF(COUNTA(W298:AB298)&lt;6,"一部入力",IF(COUNTIF(AC298:AH298,0)=6,"一致","差分あり")))</f>
        <v/>
      </c>
      <c r="AJ2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8" s="19" t="inlineStr"/>
      <c r="AL298" s="18" t="inlineStr">
        <is>
          <t>2026-06-29</t>
        </is>
      </c>
    </row>
    <row r="299" ht="22" customHeight="1">
      <c r="A299" s="17" t="inlineStr">
        <is>
          <t>1004102-LB0</t>
        </is>
      </c>
      <c r="B299" s="18" t="n">
        <v>1004102</v>
      </c>
      <c r="C299" s="17" t="inlineStr">
        <is>
          <t>YShirakawa02</t>
        </is>
      </c>
      <c r="D299" s="17" t="inlineStr">
        <is>
          <t>YShirakawa</t>
        </is>
      </c>
      <c r="E299" s="17" t="inlineStr">
        <is>
          <t>白河 ユイナ</t>
        </is>
      </c>
      <c r="F299" s="19" t="inlineStr">
        <is>
          <t>Sign</t>
        </is>
      </c>
      <c r="G299" s="18" t="inlineStr">
        <is>
          <t>S</t>
        </is>
      </c>
      <c r="H299" s="17" t="inlineStr">
        <is>
          <t>Attacker</t>
        </is>
      </c>
      <c r="I299" s="18" t="n">
        <v>0</v>
      </c>
      <c r="J299" s="18" t="n">
        <v>10</v>
      </c>
      <c r="K299" s="18" t="n">
        <v>323</v>
      </c>
      <c r="L299" s="18" t="n">
        <v>341</v>
      </c>
      <c r="M299" s="18" t="n">
        <v>324</v>
      </c>
      <c r="N299" s="18" t="n">
        <v>306</v>
      </c>
      <c r="O299" s="18" t="n">
        <v>347</v>
      </c>
      <c r="P299" s="18" t="n">
        <v>329</v>
      </c>
      <c r="Q299" s="18" t="n">
        <v>33</v>
      </c>
      <c r="R299" s="18" t="n">
        <v>35</v>
      </c>
      <c r="S299" s="18" t="n">
        <v>33</v>
      </c>
      <c r="T299" s="18" t="n">
        <v>31</v>
      </c>
      <c r="U299" s="18" t="n">
        <v>35</v>
      </c>
      <c r="V299" s="18" t="n">
        <v>33</v>
      </c>
      <c r="W299" s="20" t="n"/>
      <c r="X299" s="20" t="n"/>
      <c r="Y299" s="20" t="n"/>
      <c r="Z299" s="20" t="n"/>
      <c r="AA299" s="20" t="n"/>
      <c r="AB299" s="20" t="n"/>
      <c r="AC299" s="21">
        <f>IF(W299="","",W299-K299)</f>
        <v/>
      </c>
      <c r="AD299" s="21">
        <f>IF(X299="","",X299-L299)</f>
        <v/>
      </c>
      <c r="AE299" s="21">
        <f>IF(Y299="","",Y299-M299)</f>
        <v/>
      </c>
      <c r="AF299" s="21">
        <f>IF(Z299="","",Z299-N299)</f>
        <v/>
      </c>
      <c r="AG299" s="21">
        <f>IF(AA299="","",AA299-O299)</f>
        <v/>
      </c>
      <c r="AH299" s="21">
        <f>IF(AB299="","",AB299-P299)</f>
        <v/>
      </c>
      <c r="AI299" s="18">
        <f>IF(COUNTA(W299:AB299)=0,"未入力",IF(COUNTA(W299:AB299)&lt;6,"一部入力",IF(COUNTIF(AC299:AH299,0)=6,"一致","差分あり")))</f>
        <v/>
      </c>
      <c r="AJ2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299" s="19" t="inlineStr"/>
      <c r="AL299" s="18" t="inlineStr">
        <is>
          <t>2026-06-29</t>
        </is>
      </c>
    </row>
    <row r="300" ht="22" customHeight="1">
      <c r="A300" s="17" t="inlineStr">
        <is>
          <t>1004102-LB10</t>
        </is>
      </c>
      <c r="B300" s="18" t="n">
        <v>1004102</v>
      </c>
      <c r="C300" s="17" t="inlineStr">
        <is>
          <t>YShirakawa02</t>
        </is>
      </c>
      <c r="D300" s="17" t="inlineStr">
        <is>
          <t>YShirakawa</t>
        </is>
      </c>
      <c r="E300" s="17" t="inlineStr">
        <is>
          <t>白河 ユイナ</t>
        </is>
      </c>
      <c r="F300" s="19" t="inlineStr">
        <is>
          <t>Sign</t>
        </is>
      </c>
      <c r="G300" s="18" t="inlineStr">
        <is>
          <t>S</t>
        </is>
      </c>
      <c r="H300" s="17" t="inlineStr">
        <is>
          <t>Attacker</t>
        </is>
      </c>
      <c r="I300" s="18" t="n">
        <v>10</v>
      </c>
      <c r="J300" s="18" t="n">
        <v>10</v>
      </c>
      <c r="K300" s="18" t="n">
        <v>396</v>
      </c>
      <c r="L300" s="18" t="n">
        <v>405</v>
      </c>
      <c r="M300" s="18" t="n">
        <v>391</v>
      </c>
      <c r="N300" s="18" t="n">
        <v>372</v>
      </c>
      <c r="O300" s="18" t="n">
        <v>412</v>
      </c>
      <c r="P300" s="18" t="n">
        <v>398</v>
      </c>
      <c r="Q300" s="18" t="n">
        <v>40</v>
      </c>
      <c r="R300" s="18" t="n">
        <v>41</v>
      </c>
      <c r="S300" s="18" t="n">
        <v>40</v>
      </c>
      <c r="T300" s="18" t="n">
        <v>38</v>
      </c>
      <c r="U300" s="18" t="n">
        <v>42</v>
      </c>
      <c r="V300" s="18" t="n">
        <v>40</v>
      </c>
      <c r="W300" s="20" t="n"/>
      <c r="X300" s="20" t="n"/>
      <c r="Y300" s="20" t="n"/>
      <c r="Z300" s="20" t="n"/>
      <c r="AA300" s="20" t="n"/>
      <c r="AB300" s="20" t="n"/>
      <c r="AC300" s="21">
        <f>IF(W300="","",W300-K300)</f>
        <v/>
      </c>
      <c r="AD300" s="21">
        <f>IF(X300="","",X300-L300)</f>
        <v/>
      </c>
      <c r="AE300" s="21">
        <f>IF(Y300="","",Y300-M300)</f>
        <v/>
      </c>
      <c r="AF300" s="21">
        <f>IF(Z300="","",Z300-N300)</f>
        <v/>
      </c>
      <c r="AG300" s="21">
        <f>IF(AA300="","",AA300-O300)</f>
        <v/>
      </c>
      <c r="AH300" s="21">
        <f>IF(AB300="","",AB300-P300)</f>
        <v/>
      </c>
      <c r="AI300" s="18">
        <f>IF(COUNTA(W300:AB300)=0,"未入力",IF(COUNTA(W300:AB300)&lt;6,"一部入力",IF(COUNTIF(AC300:AH300,0)=6,"一致","差分あり")))</f>
        <v/>
      </c>
      <c r="AJ3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0" s="19" t="inlineStr"/>
      <c r="AL300" s="18" t="inlineStr">
        <is>
          <t>2026-06-29</t>
        </is>
      </c>
    </row>
    <row r="301" ht="22" customHeight="1">
      <c r="A301" s="17" t="inlineStr">
        <is>
          <t>1004103-LB0</t>
        </is>
      </c>
      <c r="B301" s="18" t="n">
        <v>1004103</v>
      </c>
      <c r="C301" s="17" t="inlineStr">
        <is>
          <t>YShirakawa03</t>
        </is>
      </c>
      <c r="D301" s="17" t="inlineStr">
        <is>
          <t>YShirakawa</t>
        </is>
      </c>
      <c r="E301" s="17" t="inlineStr">
        <is>
          <t>白河 ユイナ</t>
        </is>
      </c>
      <c r="F301" s="19" t="inlineStr">
        <is>
          <t>Awakening Iris</t>
        </is>
      </c>
      <c r="G301" s="18" t="inlineStr">
        <is>
          <t>SS</t>
        </is>
      </c>
      <c r="H301" s="17" t="inlineStr">
        <is>
          <t>Attacker</t>
        </is>
      </c>
      <c r="I301" s="18" t="n">
        <v>0</v>
      </c>
      <c r="J301" s="18" t="n">
        <v>4</v>
      </c>
      <c r="K301" s="18" t="n">
        <v>437</v>
      </c>
      <c r="L301" s="18" t="n">
        <v>334</v>
      </c>
      <c r="M301" s="18" t="n">
        <v>371</v>
      </c>
      <c r="N301" s="18" t="n">
        <v>377</v>
      </c>
      <c r="O301" s="18" t="n">
        <v>374</v>
      </c>
      <c r="P301" s="18" t="n">
        <v>404</v>
      </c>
      <c r="Q301" s="18" t="n">
        <v>44</v>
      </c>
      <c r="R301" s="18" t="n">
        <v>34</v>
      </c>
      <c r="S301" s="18" t="n">
        <v>38</v>
      </c>
      <c r="T301" s="18" t="n">
        <v>38</v>
      </c>
      <c r="U301" s="18" t="n">
        <v>38</v>
      </c>
      <c r="V301" s="18" t="n">
        <v>41</v>
      </c>
      <c r="W301" s="20" t="n"/>
      <c r="X301" s="20" t="n"/>
      <c r="Y301" s="20" t="n"/>
      <c r="Z301" s="20" t="n"/>
      <c r="AA301" s="20" t="n"/>
      <c r="AB301" s="20" t="n"/>
      <c r="AC301" s="21">
        <f>IF(W301="","",W301-K301)</f>
        <v/>
      </c>
      <c r="AD301" s="21">
        <f>IF(X301="","",X301-L301)</f>
        <v/>
      </c>
      <c r="AE301" s="21">
        <f>IF(Y301="","",Y301-M301)</f>
        <v/>
      </c>
      <c r="AF301" s="21">
        <f>IF(Z301="","",Z301-N301)</f>
        <v/>
      </c>
      <c r="AG301" s="21">
        <f>IF(AA301="","",AA301-O301)</f>
        <v/>
      </c>
      <c r="AH301" s="21">
        <f>IF(AB301="","",AB301-P301)</f>
        <v/>
      </c>
      <c r="AI301" s="18">
        <f>IF(COUNTA(W301:AB301)=0,"未入力",IF(COUNTA(W301:AB301)&lt;6,"一部入力",IF(COUNTIF(AC301:AH301,0)=6,"一致","差分あり")))</f>
        <v/>
      </c>
      <c r="AJ3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1" s="19" t="inlineStr"/>
      <c r="AL301" s="18" t="inlineStr">
        <is>
          <t>2026-06-29</t>
        </is>
      </c>
    </row>
    <row r="302" ht="22" customHeight="1">
      <c r="A302" s="17" t="inlineStr">
        <is>
          <t>1004103-LB4</t>
        </is>
      </c>
      <c r="B302" s="18" t="n">
        <v>1004103</v>
      </c>
      <c r="C302" s="17" t="inlineStr">
        <is>
          <t>YShirakawa03</t>
        </is>
      </c>
      <c r="D302" s="17" t="inlineStr">
        <is>
          <t>YShirakawa</t>
        </is>
      </c>
      <c r="E302" s="17" t="inlineStr">
        <is>
          <t>白河 ユイナ</t>
        </is>
      </c>
      <c r="F302" s="19" t="inlineStr">
        <is>
          <t>Awakening Iris</t>
        </is>
      </c>
      <c r="G302" s="18" t="inlineStr">
        <is>
          <t>SS</t>
        </is>
      </c>
      <c r="H302" s="17" t="inlineStr">
        <is>
          <t>Attacker</t>
        </is>
      </c>
      <c r="I302" s="18" t="n">
        <v>4</v>
      </c>
      <c r="J302" s="18" t="n">
        <v>4</v>
      </c>
      <c r="K302" s="18" t="n">
        <v>531</v>
      </c>
      <c r="L302" s="18" t="n">
        <v>419</v>
      </c>
      <c r="M302" s="18" t="n">
        <v>461</v>
      </c>
      <c r="N302" s="18" t="n">
        <v>465</v>
      </c>
      <c r="O302" s="18" t="n">
        <v>461</v>
      </c>
      <c r="P302" s="18" t="n">
        <v>495</v>
      </c>
      <c r="Q302" s="18" t="n">
        <v>54</v>
      </c>
      <c r="R302" s="18" t="n">
        <v>42</v>
      </c>
      <c r="S302" s="18" t="n">
        <v>47</v>
      </c>
      <c r="T302" s="18" t="n">
        <v>47</v>
      </c>
      <c r="U302" s="18" t="n">
        <v>47</v>
      </c>
      <c r="V302" s="18" t="n">
        <v>50</v>
      </c>
      <c r="W302" s="20" t="n"/>
      <c r="X302" s="20" t="n"/>
      <c r="Y302" s="20" t="n"/>
      <c r="Z302" s="20" t="n"/>
      <c r="AA302" s="20" t="n"/>
      <c r="AB302" s="20" t="n"/>
      <c r="AC302" s="21">
        <f>IF(W302="","",W302-K302)</f>
        <v/>
      </c>
      <c r="AD302" s="21">
        <f>IF(X302="","",X302-L302)</f>
        <v/>
      </c>
      <c r="AE302" s="21">
        <f>IF(Y302="","",Y302-M302)</f>
        <v/>
      </c>
      <c r="AF302" s="21">
        <f>IF(Z302="","",Z302-N302)</f>
        <v/>
      </c>
      <c r="AG302" s="21">
        <f>IF(AA302="","",AA302-O302)</f>
        <v/>
      </c>
      <c r="AH302" s="21">
        <f>IF(AB302="","",AB302-P302)</f>
        <v/>
      </c>
      <c r="AI302" s="18">
        <f>IF(COUNTA(W302:AB302)=0,"未入力",IF(COUNTA(W302:AB302)&lt;6,"一部入力",IF(COUNTIF(AC302:AH302,0)=6,"一致","差分あり")))</f>
        <v/>
      </c>
      <c r="AJ3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2" s="19" t="inlineStr"/>
      <c r="AL302" s="18" t="inlineStr">
        <is>
          <t>2026-06-29</t>
        </is>
      </c>
    </row>
    <row r="303" ht="22" customHeight="1">
      <c r="A303" s="17" t="inlineStr">
        <is>
          <t>1004104-LB0</t>
        </is>
      </c>
      <c r="B303" s="18" t="n">
        <v>1004104</v>
      </c>
      <c r="C303" s="17" t="inlineStr">
        <is>
          <t>YShirakawa04</t>
        </is>
      </c>
      <c r="D303" s="17" t="inlineStr">
        <is>
          <t>YShirakawa</t>
        </is>
      </c>
      <c r="E303" s="17" t="inlineStr">
        <is>
          <t>白河 ユイナ</t>
        </is>
      </c>
      <c r="F303" s="19" t="inlineStr">
        <is>
          <t>Infernal Sanctuary</t>
        </is>
      </c>
      <c r="G303" s="18" t="inlineStr">
        <is>
          <t>SS</t>
        </is>
      </c>
      <c r="H303" s="17" t="inlineStr">
        <is>
          <t>Blaster</t>
        </is>
      </c>
      <c r="I303" s="18" t="n">
        <v>0</v>
      </c>
      <c r="J303" s="18" t="n">
        <v>4</v>
      </c>
      <c r="K303" s="18" t="n">
        <v>461</v>
      </c>
      <c r="L303" s="18" t="n">
        <v>355</v>
      </c>
      <c r="M303" s="18" t="n">
        <v>394</v>
      </c>
      <c r="N303" s="18" t="n">
        <v>399</v>
      </c>
      <c r="O303" s="18" t="n">
        <v>396</v>
      </c>
      <c r="P303" s="18" t="n">
        <v>427</v>
      </c>
      <c r="Q303" s="18" t="n">
        <v>47</v>
      </c>
      <c r="R303" s="18" t="n">
        <v>36</v>
      </c>
      <c r="S303" s="18" t="n">
        <v>40</v>
      </c>
      <c r="T303" s="18" t="n">
        <v>40</v>
      </c>
      <c r="U303" s="18" t="n">
        <v>40</v>
      </c>
      <c r="V303" s="18" t="n">
        <v>43</v>
      </c>
      <c r="W303" s="20" t="n"/>
      <c r="X303" s="20" t="n"/>
      <c r="Y303" s="20" t="n"/>
      <c r="Z303" s="20" t="n"/>
      <c r="AA303" s="20" t="n"/>
      <c r="AB303" s="20" t="n"/>
      <c r="AC303" s="21">
        <f>IF(W303="","",W303-K303)</f>
        <v/>
      </c>
      <c r="AD303" s="21">
        <f>IF(X303="","",X303-L303)</f>
        <v/>
      </c>
      <c r="AE303" s="21">
        <f>IF(Y303="","",Y303-M303)</f>
        <v/>
      </c>
      <c r="AF303" s="21">
        <f>IF(Z303="","",Z303-N303)</f>
        <v/>
      </c>
      <c r="AG303" s="21">
        <f>IF(AA303="","",AA303-O303)</f>
        <v/>
      </c>
      <c r="AH303" s="21">
        <f>IF(AB303="","",AB303-P303)</f>
        <v/>
      </c>
      <c r="AI303" s="18">
        <f>IF(COUNTA(W303:AB303)=0,"未入力",IF(COUNTA(W303:AB303)&lt;6,"一部入力",IF(COUNTIF(AC303:AH303,0)=6,"一致","差分あり")))</f>
        <v/>
      </c>
      <c r="AJ3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3" s="19" t="inlineStr"/>
      <c r="AL303" s="18" t="inlineStr">
        <is>
          <t>2026-06-29</t>
        </is>
      </c>
    </row>
    <row r="304" ht="22" customHeight="1">
      <c r="A304" s="17" t="inlineStr">
        <is>
          <t>1004104-LB4</t>
        </is>
      </c>
      <c r="B304" s="18" t="n">
        <v>1004104</v>
      </c>
      <c r="C304" s="17" t="inlineStr">
        <is>
          <t>YShirakawa04</t>
        </is>
      </c>
      <c r="D304" s="17" t="inlineStr">
        <is>
          <t>YShirakawa</t>
        </is>
      </c>
      <c r="E304" s="17" t="inlineStr">
        <is>
          <t>白河 ユイナ</t>
        </is>
      </c>
      <c r="F304" s="19" t="inlineStr">
        <is>
          <t>Infernal Sanctuary</t>
        </is>
      </c>
      <c r="G304" s="18" t="inlineStr">
        <is>
          <t>SS</t>
        </is>
      </c>
      <c r="H304" s="17" t="inlineStr">
        <is>
          <t>Blaster</t>
        </is>
      </c>
      <c r="I304" s="18" t="n">
        <v>4</v>
      </c>
      <c r="J304" s="18" t="n">
        <v>4</v>
      </c>
      <c r="K304" s="18" t="n">
        <v>554</v>
      </c>
      <c r="L304" s="18" t="n">
        <v>440</v>
      </c>
      <c r="M304" s="18" t="n">
        <v>483</v>
      </c>
      <c r="N304" s="18" t="n">
        <v>486</v>
      </c>
      <c r="O304" s="18" t="n">
        <v>482</v>
      </c>
      <c r="P304" s="18" t="n">
        <v>518</v>
      </c>
      <c r="Q304" s="18" t="n">
        <v>56</v>
      </c>
      <c r="R304" s="18" t="n">
        <v>44</v>
      </c>
      <c r="S304" s="18" t="n">
        <v>49</v>
      </c>
      <c r="T304" s="18" t="n">
        <v>49</v>
      </c>
      <c r="U304" s="18" t="n">
        <v>49</v>
      </c>
      <c r="V304" s="18" t="n">
        <v>52</v>
      </c>
      <c r="W304" s="20" t="n"/>
      <c r="X304" s="20" t="n"/>
      <c r="Y304" s="20" t="n"/>
      <c r="Z304" s="20" t="n"/>
      <c r="AA304" s="20" t="n"/>
      <c r="AB304" s="20" t="n"/>
      <c r="AC304" s="21">
        <f>IF(W304="","",W304-K304)</f>
        <v/>
      </c>
      <c r="AD304" s="21">
        <f>IF(X304="","",X304-L304)</f>
        <v/>
      </c>
      <c r="AE304" s="21">
        <f>IF(Y304="","",Y304-M304)</f>
        <v/>
      </c>
      <c r="AF304" s="21">
        <f>IF(Z304="","",Z304-N304)</f>
        <v/>
      </c>
      <c r="AG304" s="21">
        <f>IF(AA304="","",AA304-O304)</f>
        <v/>
      </c>
      <c r="AH304" s="21">
        <f>IF(AB304="","",AB304-P304)</f>
        <v/>
      </c>
      <c r="AI304" s="18">
        <f>IF(COUNTA(W304:AB304)=0,"未入力",IF(COUNTA(W304:AB304)&lt;6,"一部入力",IF(COUNTIF(AC304:AH304,0)=6,"一致","差分あり")))</f>
        <v/>
      </c>
      <c r="AJ3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4" s="19" t="inlineStr"/>
      <c r="AL304" s="18" t="inlineStr">
        <is>
          <t>2026-06-29</t>
        </is>
      </c>
    </row>
    <row r="305" ht="22" customHeight="1">
      <c r="A305" s="17" t="inlineStr">
        <is>
          <t>1004105-LB0</t>
        </is>
      </c>
      <c r="B305" s="18" t="n">
        <v>1004105</v>
      </c>
      <c r="C305" s="17" t="inlineStr">
        <is>
          <t>YShirakawa05</t>
        </is>
      </c>
      <c r="D305" s="17" t="inlineStr">
        <is>
          <t>YShirakawa</t>
        </is>
      </c>
      <c r="E305" s="17" t="inlineStr">
        <is>
          <t>白河 ユイナ</t>
        </is>
      </c>
      <c r="F305" s="19" t="inlineStr">
        <is>
          <t>君がいるだけで</t>
        </is>
      </c>
      <c r="G305" s="18" t="inlineStr">
        <is>
          <t>S</t>
        </is>
      </c>
      <c r="H305" s="17" t="inlineStr">
        <is>
          <t>Attacker</t>
        </is>
      </c>
      <c r="I305" s="18" t="n">
        <v>0</v>
      </c>
      <c r="J305" s="18" t="n">
        <v>10</v>
      </c>
      <c r="K305" s="18" t="n">
        <v>337</v>
      </c>
      <c r="L305" s="18" t="n">
        <v>309</v>
      </c>
      <c r="M305" s="18" t="n">
        <v>354</v>
      </c>
      <c r="N305" s="18" t="n">
        <v>350</v>
      </c>
      <c r="O305" s="18" t="n">
        <v>304</v>
      </c>
      <c r="P305" s="18" t="n">
        <v>318</v>
      </c>
      <c r="Q305" s="18" t="n">
        <v>34</v>
      </c>
      <c r="R305" s="18" t="n">
        <v>31</v>
      </c>
      <c r="S305" s="18" t="n">
        <v>36</v>
      </c>
      <c r="T305" s="18" t="n">
        <v>35</v>
      </c>
      <c r="U305" s="18" t="n">
        <v>31</v>
      </c>
      <c r="V305" s="18" t="n">
        <v>32</v>
      </c>
      <c r="W305" s="20" t="n"/>
      <c r="X305" s="20" t="n"/>
      <c r="Y305" s="20" t="n"/>
      <c r="Z305" s="20" t="n"/>
      <c r="AA305" s="20" t="n"/>
      <c r="AB305" s="20" t="n"/>
      <c r="AC305" s="21">
        <f>IF(W305="","",W305-K305)</f>
        <v/>
      </c>
      <c r="AD305" s="21">
        <f>IF(X305="","",X305-L305)</f>
        <v/>
      </c>
      <c r="AE305" s="21">
        <f>IF(Y305="","",Y305-M305)</f>
        <v/>
      </c>
      <c r="AF305" s="21">
        <f>IF(Z305="","",Z305-N305)</f>
        <v/>
      </c>
      <c r="AG305" s="21">
        <f>IF(AA305="","",AA305-O305)</f>
        <v/>
      </c>
      <c r="AH305" s="21">
        <f>IF(AB305="","",AB305-P305)</f>
        <v/>
      </c>
      <c r="AI305" s="18">
        <f>IF(COUNTA(W305:AB305)=0,"未入力",IF(COUNTA(W305:AB305)&lt;6,"一部入力",IF(COUNTIF(AC305:AH305,0)=6,"一致","差分あり")))</f>
        <v/>
      </c>
      <c r="AJ3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5" s="19" t="inlineStr"/>
      <c r="AL305" s="18" t="inlineStr">
        <is>
          <t>2026-06-29</t>
        </is>
      </c>
    </row>
    <row r="306" ht="22" customHeight="1">
      <c r="A306" s="17" t="inlineStr">
        <is>
          <t>1004105-LB10</t>
        </is>
      </c>
      <c r="B306" s="18" t="n">
        <v>1004105</v>
      </c>
      <c r="C306" s="17" t="inlineStr">
        <is>
          <t>YShirakawa05</t>
        </is>
      </c>
      <c r="D306" s="17" t="inlineStr">
        <is>
          <t>YShirakawa</t>
        </is>
      </c>
      <c r="E306" s="17" t="inlineStr">
        <is>
          <t>白河 ユイナ</t>
        </is>
      </c>
      <c r="F306" s="19" t="inlineStr">
        <is>
          <t>君がいるだけで</t>
        </is>
      </c>
      <c r="G306" s="18" t="inlineStr">
        <is>
          <t>S</t>
        </is>
      </c>
      <c r="H306" s="17" t="inlineStr">
        <is>
          <t>Attacker</t>
        </is>
      </c>
      <c r="I306" s="18" t="n">
        <v>10</v>
      </c>
      <c r="J306" s="18" t="n">
        <v>10</v>
      </c>
      <c r="K306" s="18" t="n">
        <v>408</v>
      </c>
      <c r="L306" s="18" t="n">
        <v>373</v>
      </c>
      <c r="M306" s="18" t="n">
        <v>425</v>
      </c>
      <c r="N306" s="18" t="n">
        <v>416</v>
      </c>
      <c r="O306" s="18" t="n">
        <v>369</v>
      </c>
      <c r="P306" s="18" t="n">
        <v>386</v>
      </c>
      <c r="Q306" s="18" t="n">
        <v>41</v>
      </c>
      <c r="R306" s="18" t="n">
        <v>38</v>
      </c>
      <c r="S306" s="18" t="n">
        <v>43</v>
      </c>
      <c r="T306" s="18" t="n">
        <v>42</v>
      </c>
      <c r="U306" s="18" t="n">
        <v>37</v>
      </c>
      <c r="V306" s="18" t="n">
        <v>39</v>
      </c>
      <c r="W306" s="20" t="n"/>
      <c r="X306" s="20" t="n"/>
      <c r="Y306" s="20" t="n"/>
      <c r="Z306" s="20" t="n"/>
      <c r="AA306" s="20" t="n"/>
      <c r="AB306" s="20" t="n"/>
      <c r="AC306" s="21">
        <f>IF(W306="","",W306-K306)</f>
        <v/>
      </c>
      <c r="AD306" s="21">
        <f>IF(X306="","",X306-L306)</f>
        <v/>
      </c>
      <c r="AE306" s="21">
        <f>IF(Y306="","",Y306-M306)</f>
        <v/>
      </c>
      <c r="AF306" s="21">
        <f>IF(Z306="","",Z306-N306)</f>
        <v/>
      </c>
      <c r="AG306" s="21">
        <f>IF(AA306="","",AA306-O306)</f>
        <v/>
      </c>
      <c r="AH306" s="21">
        <f>IF(AB306="","",AB306-P306)</f>
        <v/>
      </c>
      <c r="AI306" s="18">
        <f>IF(COUNTA(W306:AB306)=0,"未入力",IF(COUNTA(W306:AB306)&lt;6,"一部入力",IF(COUNTIF(AC306:AH306,0)=6,"一致","差分あり")))</f>
        <v/>
      </c>
      <c r="AJ3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6" s="19" t="inlineStr"/>
      <c r="AL306" s="18" t="inlineStr">
        <is>
          <t>2026-06-29</t>
        </is>
      </c>
    </row>
    <row r="307" ht="22" customHeight="1">
      <c r="A307" s="17" t="inlineStr">
        <is>
          <t>1004106-LB0</t>
        </is>
      </c>
      <c r="B307" s="18" t="n">
        <v>1004106</v>
      </c>
      <c r="C307" s="17" t="inlineStr">
        <is>
          <t>YShirakawa06</t>
        </is>
      </c>
      <c r="D307" s="17" t="inlineStr">
        <is>
          <t>YShirakawa</t>
        </is>
      </c>
      <c r="E307" s="17" t="inlineStr">
        <is>
          <t>白河 ユイナ</t>
        </is>
      </c>
      <c r="F307" s="19" t="inlineStr">
        <is>
          <t>真夏のジャンダルム</t>
        </is>
      </c>
      <c r="G307" s="18" t="inlineStr">
        <is>
          <t>SS</t>
        </is>
      </c>
      <c r="H307" s="17" t="inlineStr">
        <is>
          <t>Attacker</t>
        </is>
      </c>
      <c r="I307" s="18" t="n">
        <v>0</v>
      </c>
      <c r="J307" s="18" t="n">
        <v>4</v>
      </c>
      <c r="K307" s="18" t="n">
        <v>461</v>
      </c>
      <c r="L307" s="18" t="n">
        <v>355</v>
      </c>
      <c r="M307" s="18" t="n">
        <v>394</v>
      </c>
      <c r="N307" s="18" t="n">
        <v>399</v>
      </c>
      <c r="O307" s="18" t="n">
        <v>396</v>
      </c>
      <c r="P307" s="18" t="n">
        <v>427</v>
      </c>
      <c r="Q307" s="18" t="n">
        <v>47</v>
      </c>
      <c r="R307" s="18" t="n">
        <v>36</v>
      </c>
      <c r="S307" s="18" t="n">
        <v>40</v>
      </c>
      <c r="T307" s="18" t="n">
        <v>40</v>
      </c>
      <c r="U307" s="18" t="n">
        <v>40</v>
      </c>
      <c r="V307" s="18" t="n">
        <v>43</v>
      </c>
      <c r="W307" s="20" t="n"/>
      <c r="X307" s="20" t="n"/>
      <c r="Y307" s="20" t="n"/>
      <c r="Z307" s="20" t="n"/>
      <c r="AA307" s="20" t="n"/>
      <c r="AB307" s="20" t="n"/>
      <c r="AC307" s="21">
        <f>IF(W307="","",W307-K307)</f>
        <v/>
      </c>
      <c r="AD307" s="21">
        <f>IF(X307="","",X307-L307)</f>
        <v/>
      </c>
      <c r="AE307" s="21">
        <f>IF(Y307="","",Y307-M307)</f>
        <v/>
      </c>
      <c r="AF307" s="21">
        <f>IF(Z307="","",Z307-N307)</f>
        <v/>
      </c>
      <c r="AG307" s="21">
        <f>IF(AA307="","",AA307-O307)</f>
        <v/>
      </c>
      <c r="AH307" s="21">
        <f>IF(AB307="","",AB307-P307)</f>
        <v/>
      </c>
      <c r="AI307" s="18">
        <f>IF(COUNTA(W307:AB307)=0,"未入力",IF(COUNTA(W307:AB307)&lt;6,"一部入力",IF(COUNTIF(AC307:AH307,0)=6,"一致","差分あり")))</f>
        <v/>
      </c>
      <c r="AJ3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7" s="19" t="inlineStr"/>
      <c r="AL307" s="18" t="inlineStr">
        <is>
          <t>2026-06-29</t>
        </is>
      </c>
    </row>
    <row r="308" ht="22" customHeight="1">
      <c r="A308" s="17" t="inlineStr">
        <is>
          <t>1004106-LB4</t>
        </is>
      </c>
      <c r="B308" s="18" t="n">
        <v>1004106</v>
      </c>
      <c r="C308" s="17" t="inlineStr">
        <is>
          <t>YShirakawa06</t>
        </is>
      </c>
      <c r="D308" s="17" t="inlineStr">
        <is>
          <t>YShirakawa</t>
        </is>
      </c>
      <c r="E308" s="17" t="inlineStr">
        <is>
          <t>白河 ユイナ</t>
        </is>
      </c>
      <c r="F308" s="19" t="inlineStr">
        <is>
          <t>真夏のジャンダルム</t>
        </is>
      </c>
      <c r="G308" s="18" t="inlineStr">
        <is>
          <t>SS</t>
        </is>
      </c>
      <c r="H308" s="17" t="inlineStr">
        <is>
          <t>Attacker</t>
        </is>
      </c>
      <c r="I308" s="18" t="n">
        <v>4</v>
      </c>
      <c r="J308" s="18" t="n">
        <v>4</v>
      </c>
      <c r="K308" s="18" t="n">
        <v>554</v>
      </c>
      <c r="L308" s="18" t="n">
        <v>440</v>
      </c>
      <c r="M308" s="18" t="n">
        <v>483</v>
      </c>
      <c r="N308" s="18" t="n">
        <v>486</v>
      </c>
      <c r="O308" s="18" t="n">
        <v>482</v>
      </c>
      <c r="P308" s="18" t="n">
        <v>518</v>
      </c>
      <c r="Q308" s="18" t="n">
        <v>56</v>
      </c>
      <c r="R308" s="18" t="n">
        <v>44</v>
      </c>
      <c r="S308" s="18" t="n">
        <v>49</v>
      </c>
      <c r="T308" s="18" t="n">
        <v>49</v>
      </c>
      <c r="U308" s="18" t="n">
        <v>49</v>
      </c>
      <c r="V308" s="18" t="n">
        <v>52</v>
      </c>
      <c r="W308" s="20" t="n"/>
      <c r="X308" s="20" t="n"/>
      <c r="Y308" s="20" t="n"/>
      <c r="Z308" s="20" t="n"/>
      <c r="AA308" s="20" t="n"/>
      <c r="AB308" s="20" t="n"/>
      <c r="AC308" s="21">
        <f>IF(W308="","",W308-K308)</f>
        <v/>
      </c>
      <c r="AD308" s="21">
        <f>IF(X308="","",X308-L308)</f>
        <v/>
      </c>
      <c r="AE308" s="21">
        <f>IF(Y308="","",Y308-M308)</f>
        <v/>
      </c>
      <c r="AF308" s="21">
        <f>IF(Z308="","",Z308-N308)</f>
        <v/>
      </c>
      <c r="AG308" s="21">
        <f>IF(AA308="","",AA308-O308)</f>
        <v/>
      </c>
      <c r="AH308" s="21">
        <f>IF(AB308="","",AB308-P308)</f>
        <v/>
      </c>
      <c r="AI308" s="18">
        <f>IF(COUNTA(W308:AB308)=0,"未入力",IF(COUNTA(W308:AB308)&lt;6,"一部入力",IF(COUNTIF(AC308:AH308,0)=6,"一致","差分あり")))</f>
        <v/>
      </c>
      <c r="AJ3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8" s="19" t="inlineStr"/>
      <c r="AL308" s="18" t="inlineStr">
        <is>
          <t>2026-06-29</t>
        </is>
      </c>
    </row>
    <row r="309" ht="22" customHeight="1">
      <c r="A309" s="17" t="inlineStr">
        <is>
          <t>1004107-LB0</t>
        </is>
      </c>
      <c r="B309" s="18" t="n">
        <v>1004107</v>
      </c>
      <c r="C309" s="17" t="inlineStr">
        <is>
          <t>YShirakawa07</t>
        </is>
      </c>
      <c r="D309" s="17" t="inlineStr">
        <is>
          <t>YShirakawa</t>
        </is>
      </c>
      <c r="E309" s="17" t="inlineStr">
        <is>
          <t>白河 ユイナ</t>
        </is>
      </c>
      <c r="F309" s="19" t="inlineStr">
        <is>
          <t>月が綺麗</t>
        </is>
      </c>
      <c r="G309" s="18" t="inlineStr">
        <is>
          <t>SSR</t>
        </is>
      </c>
      <c r="H309" s="17" t="inlineStr">
        <is>
          <t>Attacker</t>
        </is>
      </c>
      <c r="I309" s="18" t="n">
        <v>0</v>
      </c>
      <c r="J309" s="18" t="n">
        <v>4</v>
      </c>
      <c r="K309" s="18" t="n">
        <v>461</v>
      </c>
      <c r="L309" s="18" t="n">
        <v>355</v>
      </c>
      <c r="M309" s="18" t="n">
        <v>394</v>
      </c>
      <c r="N309" s="18" t="n">
        <v>399</v>
      </c>
      <c r="O309" s="18" t="n">
        <v>396</v>
      </c>
      <c r="P309" s="18" t="n">
        <v>427</v>
      </c>
      <c r="Q309" s="18" t="n">
        <v>47</v>
      </c>
      <c r="R309" s="18" t="n">
        <v>36</v>
      </c>
      <c r="S309" s="18" t="n">
        <v>40</v>
      </c>
      <c r="T309" s="18" t="n">
        <v>40</v>
      </c>
      <c r="U309" s="18" t="n">
        <v>40</v>
      </c>
      <c r="V309" s="18" t="n">
        <v>43</v>
      </c>
      <c r="W309" s="20" t="n"/>
      <c r="X309" s="20" t="n"/>
      <c r="Y309" s="20" t="n"/>
      <c r="Z309" s="20" t="n"/>
      <c r="AA309" s="20" t="n"/>
      <c r="AB309" s="20" t="n"/>
      <c r="AC309" s="21">
        <f>IF(W309="","",W309-K309)</f>
        <v/>
      </c>
      <c r="AD309" s="21">
        <f>IF(X309="","",X309-L309)</f>
        <v/>
      </c>
      <c r="AE309" s="21">
        <f>IF(Y309="","",Y309-M309)</f>
        <v/>
      </c>
      <c r="AF309" s="21">
        <f>IF(Z309="","",Z309-N309)</f>
        <v/>
      </c>
      <c r="AG309" s="21">
        <f>IF(AA309="","",AA309-O309)</f>
        <v/>
      </c>
      <c r="AH309" s="21">
        <f>IF(AB309="","",AB309-P309)</f>
        <v/>
      </c>
      <c r="AI309" s="18">
        <f>IF(COUNTA(W309:AB309)=0,"未入力",IF(COUNTA(W309:AB309)&lt;6,"一部入力",IF(COUNTIF(AC309:AH309,0)=6,"一致","差分あり")))</f>
        <v/>
      </c>
      <c r="AJ3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09" s="19" t="inlineStr"/>
      <c r="AL309" s="18" t="inlineStr">
        <is>
          <t>2026-06-29</t>
        </is>
      </c>
    </row>
    <row r="310" ht="22" customHeight="1">
      <c r="A310" s="17" t="inlineStr">
        <is>
          <t>1004107-LB4</t>
        </is>
      </c>
      <c r="B310" s="18" t="n">
        <v>1004107</v>
      </c>
      <c r="C310" s="17" t="inlineStr">
        <is>
          <t>YShirakawa07</t>
        </is>
      </c>
      <c r="D310" s="17" t="inlineStr">
        <is>
          <t>YShirakawa</t>
        </is>
      </c>
      <c r="E310" s="17" t="inlineStr">
        <is>
          <t>白河 ユイナ</t>
        </is>
      </c>
      <c r="F310" s="19" t="inlineStr">
        <is>
          <t>月が綺麗</t>
        </is>
      </c>
      <c r="G310" s="18" t="inlineStr">
        <is>
          <t>SSR</t>
        </is>
      </c>
      <c r="H310" s="17" t="inlineStr">
        <is>
          <t>Attacker</t>
        </is>
      </c>
      <c r="I310" s="18" t="n">
        <v>4</v>
      </c>
      <c r="J310" s="18" t="n">
        <v>4</v>
      </c>
      <c r="K310" s="18" t="n">
        <v>554</v>
      </c>
      <c r="L310" s="18" t="n">
        <v>440</v>
      </c>
      <c r="M310" s="18" t="n">
        <v>483</v>
      </c>
      <c r="N310" s="18" t="n">
        <v>486</v>
      </c>
      <c r="O310" s="18" t="n">
        <v>482</v>
      </c>
      <c r="P310" s="18" t="n">
        <v>518</v>
      </c>
      <c r="Q310" s="18" t="n">
        <v>56</v>
      </c>
      <c r="R310" s="18" t="n">
        <v>44</v>
      </c>
      <c r="S310" s="18" t="n">
        <v>49</v>
      </c>
      <c r="T310" s="18" t="n">
        <v>49</v>
      </c>
      <c r="U310" s="18" t="n">
        <v>49</v>
      </c>
      <c r="V310" s="18" t="n">
        <v>52</v>
      </c>
      <c r="W310" s="20" t="n"/>
      <c r="X310" s="20" t="n"/>
      <c r="Y310" s="20" t="n"/>
      <c r="Z310" s="20" t="n"/>
      <c r="AA310" s="20" t="n"/>
      <c r="AB310" s="20" t="n"/>
      <c r="AC310" s="21">
        <f>IF(W310="","",W310-K310)</f>
        <v/>
      </c>
      <c r="AD310" s="21">
        <f>IF(X310="","",X310-L310)</f>
        <v/>
      </c>
      <c r="AE310" s="21">
        <f>IF(Y310="","",Y310-M310)</f>
        <v/>
      </c>
      <c r="AF310" s="21">
        <f>IF(Z310="","",Z310-N310)</f>
        <v/>
      </c>
      <c r="AG310" s="21">
        <f>IF(AA310="","",AA310-O310)</f>
        <v/>
      </c>
      <c r="AH310" s="21">
        <f>IF(AB310="","",AB310-P310)</f>
        <v/>
      </c>
      <c r="AI310" s="18">
        <f>IF(COUNTA(W310:AB310)=0,"未入力",IF(COUNTA(W310:AB310)&lt;6,"一部入力",IF(COUNTIF(AC310:AH310,0)=6,"一致","差分あり")))</f>
        <v/>
      </c>
      <c r="AJ3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0" s="19" t="inlineStr"/>
      <c r="AL310" s="18" t="inlineStr">
        <is>
          <t>2026-06-29</t>
        </is>
      </c>
    </row>
    <row r="311" ht="22" customHeight="1">
      <c r="A311" s="17" t="inlineStr">
        <is>
          <t>1004108-LB0</t>
        </is>
      </c>
      <c r="B311" s="18" t="n">
        <v>1004108</v>
      </c>
      <c r="C311" s="17" t="inlineStr">
        <is>
          <t>YShirakawa08</t>
        </is>
      </c>
      <c r="D311" s="17" t="inlineStr">
        <is>
          <t>YShirakawa</t>
        </is>
      </c>
      <c r="E311" s="17" t="inlineStr">
        <is>
          <t>白河 ユイナ</t>
        </is>
      </c>
      <c r="F311" s="19" t="inlineStr">
        <is>
          <t>黄昏に咲くスピカ</t>
        </is>
      </c>
      <c r="G311" s="18" t="inlineStr">
        <is>
          <t>SSR</t>
        </is>
      </c>
      <c r="H311" s="17" t="inlineStr">
        <is>
          <t>Blaster</t>
        </is>
      </c>
      <c r="I311" s="18" t="n">
        <v>0</v>
      </c>
      <c r="J311" s="18" t="n">
        <v>4</v>
      </c>
      <c r="K311" s="18" t="n">
        <v>461</v>
      </c>
      <c r="L311" s="18" t="n">
        <v>355</v>
      </c>
      <c r="M311" s="18" t="n">
        <v>394</v>
      </c>
      <c r="N311" s="18" t="n">
        <v>399</v>
      </c>
      <c r="O311" s="18" t="n">
        <v>396</v>
      </c>
      <c r="P311" s="18" t="n">
        <v>427</v>
      </c>
      <c r="Q311" s="18" t="n">
        <v>47</v>
      </c>
      <c r="R311" s="18" t="n">
        <v>36</v>
      </c>
      <c r="S311" s="18" t="n">
        <v>40</v>
      </c>
      <c r="T311" s="18" t="n">
        <v>40</v>
      </c>
      <c r="U311" s="18" t="n">
        <v>40</v>
      </c>
      <c r="V311" s="18" t="n">
        <v>43</v>
      </c>
      <c r="W311" s="20" t="n"/>
      <c r="X311" s="20" t="n"/>
      <c r="Y311" s="20" t="n"/>
      <c r="Z311" s="20" t="n"/>
      <c r="AA311" s="20" t="n"/>
      <c r="AB311" s="20" t="n"/>
      <c r="AC311" s="21">
        <f>IF(W311="","",W311-K311)</f>
        <v/>
      </c>
      <c r="AD311" s="21">
        <f>IF(X311="","",X311-L311)</f>
        <v/>
      </c>
      <c r="AE311" s="21">
        <f>IF(Y311="","",Y311-M311)</f>
        <v/>
      </c>
      <c r="AF311" s="21">
        <f>IF(Z311="","",Z311-N311)</f>
        <v/>
      </c>
      <c r="AG311" s="21">
        <f>IF(AA311="","",AA311-O311)</f>
        <v/>
      </c>
      <c r="AH311" s="21">
        <f>IF(AB311="","",AB311-P311)</f>
        <v/>
      </c>
      <c r="AI311" s="18">
        <f>IF(COUNTA(W311:AB311)=0,"未入力",IF(COUNTA(W311:AB311)&lt;6,"一部入力",IF(COUNTIF(AC311:AH311,0)=6,"一致","差分あり")))</f>
        <v/>
      </c>
      <c r="AJ3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1" s="19" t="inlineStr"/>
      <c r="AL311" s="18" t="inlineStr">
        <is>
          <t>2026-06-29</t>
        </is>
      </c>
    </row>
    <row r="312" ht="22" customHeight="1">
      <c r="A312" s="17" t="inlineStr">
        <is>
          <t>1004108-LB4</t>
        </is>
      </c>
      <c r="B312" s="18" t="n">
        <v>1004108</v>
      </c>
      <c r="C312" s="17" t="inlineStr">
        <is>
          <t>YShirakawa08</t>
        </is>
      </c>
      <c r="D312" s="17" t="inlineStr">
        <is>
          <t>YShirakawa</t>
        </is>
      </c>
      <c r="E312" s="17" t="inlineStr">
        <is>
          <t>白河 ユイナ</t>
        </is>
      </c>
      <c r="F312" s="19" t="inlineStr">
        <is>
          <t>黄昏に咲くスピカ</t>
        </is>
      </c>
      <c r="G312" s="18" t="inlineStr">
        <is>
          <t>SSR</t>
        </is>
      </c>
      <c r="H312" s="17" t="inlineStr">
        <is>
          <t>Blaster</t>
        </is>
      </c>
      <c r="I312" s="18" t="n">
        <v>4</v>
      </c>
      <c r="J312" s="18" t="n">
        <v>4</v>
      </c>
      <c r="K312" s="18" t="n">
        <v>554</v>
      </c>
      <c r="L312" s="18" t="n">
        <v>440</v>
      </c>
      <c r="M312" s="18" t="n">
        <v>483</v>
      </c>
      <c r="N312" s="18" t="n">
        <v>486</v>
      </c>
      <c r="O312" s="18" t="n">
        <v>482</v>
      </c>
      <c r="P312" s="18" t="n">
        <v>518</v>
      </c>
      <c r="Q312" s="18" t="n">
        <v>56</v>
      </c>
      <c r="R312" s="18" t="n">
        <v>44</v>
      </c>
      <c r="S312" s="18" t="n">
        <v>49</v>
      </c>
      <c r="T312" s="18" t="n">
        <v>49</v>
      </c>
      <c r="U312" s="18" t="n">
        <v>49</v>
      </c>
      <c r="V312" s="18" t="n">
        <v>52</v>
      </c>
      <c r="W312" s="20" t="n"/>
      <c r="X312" s="20" t="n"/>
      <c r="Y312" s="20" t="n"/>
      <c r="Z312" s="20" t="n"/>
      <c r="AA312" s="20" t="n"/>
      <c r="AB312" s="20" t="n"/>
      <c r="AC312" s="21">
        <f>IF(W312="","",W312-K312)</f>
        <v/>
      </c>
      <c r="AD312" s="21">
        <f>IF(X312="","",X312-L312)</f>
        <v/>
      </c>
      <c r="AE312" s="21">
        <f>IF(Y312="","",Y312-M312)</f>
        <v/>
      </c>
      <c r="AF312" s="21">
        <f>IF(Z312="","",Z312-N312)</f>
        <v/>
      </c>
      <c r="AG312" s="21">
        <f>IF(AA312="","",AA312-O312)</f>
        <v/>
      </c>
      <c r="AH312" s="21">
        <f>IF(AB312="","",AB312-P312)</f>
        <v/>
      </c>
      <c r="AI312" s="18">
        <f>IF(COUNTA(W312:AB312)=0,"未入力",IF(COUNTA(W312:AB312)&lt;6,"一部入力",IF(COUNTIF(AC312:AH312,0)=6,"一致","差分あり")))</f>
        <v/>
      </c>
      <c r="AJ3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2" s="19" t="inlineStr"/>
      <c r="AL312" s="18" t="inlineStr">
        <is>
          <t>2026-06-29</t>
        </is>
      </c>
    </row>
    <row r="313" ht="22" customHeight="1">
      <c r="A313" s="17" t="inlineStr">
        <is>
          <t>1004109-LB0</t>
        </is>
      </c>
      <c r="B313" s="18" t="n">
        <v>1004109</v>
      </c>
      <c r="C313" s="17" t="inlineStr">
        <is>
          <t>YShirakawa09</t>
        </is>
      </c>
      <c r="D313" s="17" t="inlineStr">
        <is>
          <t>YShirakawa</t>
        </is>
      </c>
      <c r="E313" s="17" t="inlineStr">
        <is>
          <t>白河 ユイナ</t>
        </is>
      </c>
      <c r="F313" s="19" t="inlineStr">
        <is>
          <t>Secretly Smile</t>
        </is>
      </c>
      <c r="G313" s="18" t="inlineStr">
        <is>
          <t>S</t>
        </is>
      </c>
      <c r="H313" s="17" t="inlineStr">
        <is>
          <t>Blaster</t>
        </is>
      </c>
      <c r="I313" s="18" t="n">
        <v>0</v>
      </c>
      <c r="J313" s="18" t="n">
        <v>10</v>
      </c>
      <c r="K313" s="18" t="n">
        <v>372</v>
      </c>
      <c r="L313" s="18" t="n">
        <v>298</v>
      </c>
      <c r="M313" s="18" t="n">
        <v>313</v>
      </c>
      <c r="N313" s="18" t="n">
        <v>317</v>
      </c>
      <c r="O313" s="18" t="n">
        <v>314</v>
      </c>
      <c r="P313" s="18" t="n">
        <v>363</v>
      </c>
      <c r="Q313" s="18" t="n">
        <v>38</v>
      </c>
      <c r="R313" s="18" t="n">
        <v>30</v>
      </c>
      <c r="S313" s="18" t="n">
        <v>32</v>
      </c>
      <c r="T313" s="18" t="n">
        <v>32</v>
      </c>
      <c r="U313" s="18" t="n">
        <v>32</v>
      </c>
      <c r="V313" s="18" t="n">
        <v>37</v>
      </c>
      <c r="W313" s="20" t="n"/>
      <c r="X313" s="20" t="n"/>
      <c r="Y313" s="20" t="n"/>
      <c r="Z313" s="20" t="n"/>
      <c r="AA313" s="20" t="n"/>
      <c r="AB313" s="20" t="n"/>
      <c r="AC313" s="21">
        <f>IF(W313="","",W313-K313)</f>
        <v/>
      </c>
      <c r="AD313" s="21">
        <f>IF(X313="","",X313-L313)</f>
        <v/>
      </c>
      <c r="AE313" s="21">
        <f>IF(Y313="","",Y313-M313)</f>
        <v/>
      </c>
      <c r="AF313" s="21">
        <f>IF(Z313="","",Z313-N313)</f>
        <v/>
      </c>
      <c r="AG313" s="21">
        <f>IF(AA313="","",AA313-O313)</f>
        <v/>
      </c>
      <c r="AH313" s="21">
        <f>IF(AB313="","",AB313-P313)</f>
        <v/>
      </c>
      <c r="AI313" s="18">
        <f>IF(COUNTA(W313:AB313)=0,"未入力",IF(COUNTA(W313:AB313)&lt;6,"一部入力",IF(COUNTIF(AC313:AH313,0)=6,"一致","差分あり")))</f>
        <v/>
      </c>
      <c r="AJ3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3" s="19" t="inlineStr"/>
      <c r="AL313" s="18" t="inlineStr">
        <is>
          <t>2026-06-29</t>
        </is>
      </c>
    </row>
    <row r="314" ht="22" customHeight="1">
      <c r="A314" s="17" t="inlineStr">
        <is>
          <t>1004109-LB10</t>
        </is>
      </c>
      <c r="B314" s="18" t="n">
        <v>1004109</v>
      </c>
      <c r="C314" s="17" t="inlineStr">
        <is>
          <t>YShirakawa09</t>
        </is>
      </c>
      <c r="D314" s="17" t="inlineStr">
        <is>
          <t>YShirakawa</t>
        </is>
      </c>
      <c r="E314" s="17" t="inlineStr">
        <is>
          <t>白河 ユイナ</t>
        </is>
      </c>
      <c r="F314" s="19" t="inlineStr">
        <is>
          <t>Secretly Smile</t>
        </is>
      </c>
      <c r="G314" s="18" t="inlineStr">
        <is>
          <t>S</t>
        </is>
      </c>
      <c r="H314" s="17" t="inlineStr">
        <is>
          <t>Blaster</t>
        </is>
      </c>
      <c r="I314" s="18" t="n">
        <v>10</v>
      </c>
      <c r="J314" s="18" t="n">
        <v>10</v>
      </c>
      <c r="K314" s="18" t="n">
        <v>443</v>
      </c>
      <c r="L314" s="18" t="n">
        <v>362</v>
      </c>
      <c r="M314" s="18" t="n">
        <v>380</v>
      </c>
      <c r="N314" s="18" t="n">
        <v>383</v>
      </c>
      <c r="O314" s="18" t="n">
        <v>380</v>
      </c>
      <c r="P314" s="18" t="n">
        <v>432</v>
      </c>
      <c r="Q314" s="18" t="n">
        <v>45</v>
      </c>
      <c r="R314" s="18" t="n">
        <v>37</v>
      </c>
      <c r="S314" s="18" t="n">
        <v>38</v>
      </c>
      <c r="T314" s="18" t="n">
        <v>39</v>
      </c>
      <c r="U314" s="18" t="n">
        <v>38</v>
      </c>
      <c r="V314" s="18" t="n">
        <v>44</v>
      </c>
      <c r="W314" s="20" t="n"/>
      <c r="X314" s="20" t="n"/>
      <c r="Y314" s="20" t="n"/>
      <c r="Z314" s="20" t="n"/>
      <c r="AA314" s="20" t="n"/>
      <c r="AB314" s="20" t="n"/>
      <c r="AC314" s="21">
        <f>IF(W314="","",W314-K314)</f>
        <v/>
      </c>
      <c r="AD314" s="21">
        <f>IF(X314="","",X314-L314)</f>
        <v/>
      </c>
      <c r="AE314" s="21">
        <f>IF(Y314="","",Y314-M314)</f>
        <v/>
      </c>
      <c r="AF314" s="21">
        <f>IF(Z314="","",Z314-N314)</f>
        <v/>
      </c>
      <c r="AG314" s="21">
        <f>IF(AA314="","",AA314-O314)</f>
        <v/>
      </c>
      <c r="AH314" s="21">
        <f>IF(AB314="","",AB314-P314)</f>
        <v/>
      </c>
      <c r="AI314" s="18">
        <f>IF(COUNTA(W314:AB314)=0,"未入力",IF(COUNTA(W314:AB314)&lt;6,"一部入力",IF(COUNTIF(AC314:AH314,0)=6,"一致","差分あり")))</f>
        <v/>
      </c>
      <c r="AJ3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4" s="19" t="inlineStr"/>
      <c r="AL314" s="18" t="inlineStr">
        <is>
          <t>2026-06-29</t>
        </is>
      </c>
    </row>
    <row r="315" ht="22" customHeight="1">
      <c r="A315" s="17" t="inlineStr">
        <is>
          <t>1004110-LB0</t>
        </is>
      </c>
      <c r="B315" s="18" t="n">
        <v>1004110</v>
      </c>
      <c r="C315" s="17" t="inlineStr">
        <is>
          <t>YShirakawa10</t>
        </is>
      </c>
      <c r="D315" s="17" t="inlineStr">
        <is>
          <t>YShirakawa</t>
        </is>
      </c>
      <c r="E315" s="17" t="inlineStr">
        <is>
          <t>白河 ユイナ</t>
        </is>
      </c>
      <c r="F315" s="19" t="inlineStr">
        <is>
          <t>勝利を告げる神託の旗</t>
        </is>
      </c>
      <c r="G315" s="18" t="inlineStr">
        <is>
          <t>SSR</t>
        </is>
      </c>
      <c r="H315" s="17" t="inlineStr">
        <is>
          <t>Admiral</t>
        </is>
      </c>
      <c r="I315" s="18" t="n">
        <v>0</v>
      </c>
      <c r="J315" s="18" t="n">
        <v>4</v>
      </c>
      <c r="K315" s="18" t="n">
        <v>424</v>
      </c>
      <c r="L315" s="18" t="n">
        <v>389</v>
      </c>
      <c r="M315" s="18" t="n">
        <v>443</v>
      </c>
      <c r="N315" s="18" t="n">
        <v>412</v>
      </c>
      <c r="O315" s="18" t="n">
        <v>383</v>
      </c>
      <c r="P315" s="18" t="n">
        <v>377</v>
      </c>
      <c r="Q315" s="18" t="n">
        <v>43</v>
      </c>
      <c r="R315" s="18" t="n">
        <v>39</v>
      </c>
      <c r="S315" s="18" t="n">
        <v>45</v>
      </c>
      <c r="T315" s="18" t="n">
        <v>42</v>
      </c>
      <c r="U315" s="18" t="n">
        <v>39</v>
      </c>
      <c r="V315" s="18" t="n">
        <v>38</v>
      </c>
      <c r="W315" s="20" t="n"/>
      <c r="X315" s="20" t="n"/>
      <c r="Y315" s="20" t="n"/>
      <c r="Z315" s="20" t="n"/>
      <c r="AA315" s="20" t="n"/>
      <c r="AB315" s="20" t="n"/>
      <c r="AC315" s="21">
        <f>IF(W315="","",W315-K315)</f>
        <v/>
      </c>
      <c r="AD315" s="21">
        <f>IF(X315="","",X315-L315)</f>
        <v/>
      </c>
      <c r="AE315" s="21">
        <f>IF(Y315="","",Y315-M315)</f>
        <v/>
      </c>
      <c r="AF315" s="21">
        <f>IF(Z315="","",Z315-N315)</f>
        <v/>
      </c>
      <c r="AG315" s="21">
        <f>IF(AA315="","",AA315-O315)</f>
        <v/>
      </c>
      <c r="AH315" s="21">
        <f>IF(AB315="","",AB315-P315)</f>
        <v/>
      </c>
      <c r="AI315" s="18">
        <f>IF(COUNTA(W315:AB315)=0,"未入力",IF(COUNTA(W315:AB315)&lt;6,"一部入力",IF(COUNTIF(AC315:AH315,0)=6,"一致","差分あり")))</f>
        <v/>
      </c>
      <c r="AJ3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5" s="19" t="inlineStr"/>
      <c r="AL315" s="18" t="inlineStr">
        <is>
          <t>2026-06-29</t>
        </is>
      </c>
    </row>
    <row r="316" ht="22" customHeight="1">
      <c r="A316" s="17" t="inlineStr">
        <is>
          <t>1004110-LB4</t>
        </is>
      </c>
      <c r="B316" s="18" t="n">
        <v>1004110</v>
      </c>
      <c r="C316" s="17" t="inlineStr">
        <is>
          <t>YShirakawa10</t>
        </is>
      </c>
      <c r="D316" s="17" t="inlineStr">
        <is>
          <t>YShirakawa</t>
        </is>
      </c>
      <c r="E316" s="17" t="inlineStr">
        <is>
          <t>白河 ユイナ</t>
        </is>
      </c>
      <c r="F316" s="19" t="inlineStr">
        <is>
          <t>勝利を告げる神託の旗</t>
        </is>
      </c>
      <c r="G316" s="18" t="inlineStr">
        <is>
          <t>SSR</t>
        </is>
      </c>
      <c r="H316" s="17" t="inlineStr">
        <is>
          <t>Admiral</t>
        </is>
      </c>
      <c r="I316" s="18" t="n">
        <v>4</v>
      </c>
      <c r="J316" s="18" t="n">
        <v>4</v>
      </c>
      <c r="K316" s="18" t="n">
        <v>517</v>
      </c>
      <c r="L316" s="18" t="n">
        <v>474</v>
      </c>
      <c r="M316" s="18" t="n">
        <v>532</v>
      </c>
      <c r="N316" s="18" t="n">
        <v>499</v>
      </c>
      <c r="O316" s="18" t="n">
        <v>469</v>
      </c>
      <c r="P316" s="18" t="n">
        <v>469</v>
      </c>
      <c r="Q316" s="18" t="n">
        <v>52</v>
      </c>
      <c r="R316" s="18" t="n">
        <v>48</v>
      </c>
      <c r="S316" s="18" t="n">
        <v>54</v>
      </c>
      <c r="T316" s="18" t="n">
        <v>50</v>
      </c>
      <c r="U316" s="18" t="n">
        <v>47</v>
      </c>
      <c r="V316" s="18" t="n">
        <v>47</v>
      </c>
      <c r="W316" s="20" t="n"/>
      <c r="X316" s="20" t="n"/>
      <c r="Y316" s="20" t="n"/>
      <c r="Z316" s="20" t="n"/>
      <c r="AA316" s="20" t="n"/>
      <c r="AB316" s="20" t="n"/>
      <c r="AC316" s="21">
        <f>IF(W316="","",W316-K316)</f>
        <v/>
      </c>
      <c r="AD316" s="21">
        <f>IF(X316="","",X316-L316)</f>
        <v/>
      </c>
      <c r="AE316" s="21">
        <f>IF(Y316="","",Y316-M316)</f>
        <v/>
      </c>
      <c r="AF316" s="21">
        <f>IF(Z316="","",Z316-N316)</f>
        <v/>
      </c>
      <c r="AG316" s="21">
        <f>IF(AA316="","",AA316-O316)</f>
        <v/>
      </c>
      <c r="AH316" s="21">
        <f>IF(AB316="","",AB316-P316)</f>
        <v/>
      </c>
      <c r="AI316" s="18">
        <f>IF(COUNTA(W316:AB316)=0,"未入力",IF(COUNTA(W316:AB316)&lt;6,"一部入力",IF(COUNTIF(AC316:AH316,0)=6,"一致","差分あり")))</f>
        <v/>
      </c>
      <c r="AJ3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6" s="19" t="inlineStr"/>
      <c r="AL316" s="18" t="inlineStr">
        <is>
          <t>2026-06-29</t>
        </is>
      </c>
    </row>
    <row r="317" ht="22" customHeight="1">
      <c r="A317" s="17" t="inlineStr">
        <is>
          <t>1004201-LB0</t>
        </is>
      </c>
      <c r="B317" s="18" t="n">
        <v>1004201</v>
      </c>
      <c r="C317" s="17" t="inlineStr">
        <is>
          <t>MTsukishiro01</t>
        </is>
      </c>
      <c r="D317" s="17" t="inlineStr">
        <is>
          <t>MTsukishiro</t>
        </is>
      </c>
      <c r="E317" s="17" t="inlineStr">
        <is>
          <t>月城 最中</t>
        </is>
      </c>
      <c r="F317" s="19" t="inlineStr">
        <is>
          <t>禅定、憂い無し</t>
        </is>
      </c>
      <c r="G317" s="18" t="inlineStr">
        <is>
          <t>A</t>
        </is>
      </c>
      <c r="H317" s="17" t="inlineStr">
        <is>
          <t>Attacker</t>
        </is>
      </c>
      <c r="I317" s="18" t="n">
        <v>0</v>
      </c>
      <c r="J317" s="18" t="n">
        <v>20</v>
      </c>
      <c r="K317" s="18" t="n">
        <v>256</v>
      </c>
      <c r="L317" s="18" t="n">
        <v>282</v>
      </c>
      <c r="M317" s="18" t="n">
        <v>279</v>
      </c>
      <c r="N317" s="18" t="n">
        <v>246</v>
      </c>
      <c r="O317" s="18" t="n">
        <v>285</v>
      </c>
      <c r="P317" s="18" t="n">
        <v>284</v>
      </c>
      <c r="Q317" s="18" t="n">
        <v>26</v>
      </c>
      <c r="R317" s="18" t="n">
        <v>29</v>
      </c>
      <c r="S317" s="18" t="n">
        <v>28</v>
      </c>
      <c r="T317" s="18" t="n">
        <v>25</v>
      </c>
      <c r="U317" s="18" t="n">
        <v>29</v>
      </c>
      <c r="V317" s="18" t="n">
        <v>29</v>
      </c>
      <c r="W317" s="20" t="n"/>
      <c r="X317" s="20" t="n"/>
      <c r="Y317" s="20" t="n"/>
      <c r="Z317" s="20" t="n"/>
      <c r="AA317" s="20" t="n"/>
      <c r="AB317" s="20" t="n"/>
      <c r="AC317" s="21">
        <f>IF(W317="","",W317-K317)</f>
        <v/>
      </c>
      <c r="AD317" s="21">
        <f>IF(X317="","",X317-L317)</f>
        <v/>
      </c>
      <c r="AE317" s="21">
        <f>IF(Y317="","",Y317-M317)</f>
        <v/>
      </c>
      <c r="AF317" s="21">
        <f>IF(Z317="","",Z317-N317)</f>
        <v/>
      </c>
      <c r="AG317" s="21">
        <f>IF(AA317="","",AA317-O317)</f>
        <v/>
      </c>
      <c r="AH317" s="21">
        <f>IF(AB317="","",AB317-P317)</f>
        <v/>
      </c>
      <c r="AI317" s="18">
        <f>IF(COUNTA(W317:AB317)=0,"未入力",IF(COUNTA(W317:AB317)&lt;6,"一部入力",IF(COUNTIF(AC317:AH317,0)=6,"一致","差分あり")))</f>
        <v/>
      </c>
      <c r="AJ3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7" s="19" t="inlineStr"/>
      <c r="AL317" s="18" t="inlineStr">
        <is>
          <t>2026-06-29</t>
        </is>
      </c>
    </row>
    <row r="318" ht="22" customHeight="1">
      <c r="A318" s="17" t="inlineStr">
        <is>
          <t>1004201-LB20</t>
        </is>
      </c>
      <c r="B318" s="18" t="n">
        <v>1004201</v>
      </c>
      <c r="C318" s="17" t="inlineStr">
        <is>
          <t>MTsukishiro01</t>
        </is>
      </c>
      <c r="D318" s="17" t="inlineStr">
        <is>
          <t>MTsukishiro</t>
        </is>
      </c>
      <c r="E318" s="17" t="inlineStr">
        <is>
          <t>月城 最中</t>
        </is>
      </c>
      <c r="F318" s="19" t="inlineStr">
        <is>
          <t>禅定、憂い無し</t>
        </is>
      </c>
      <c r="G318" s="18" t="inlineStr">
        <is>
          <t>A</t>
        </is>
      </c>
      <c r="H318" s="17" t="inlineStr">
        <is>
          <t>Attacker</t>
        </is>
      </c>
      <c r="I318" s="18" t="n">
        <v>20</v>
      </c>
      <c r="J318" s="18" t="n">
        <v>20</v>
      </c>
      <c r="K318" s="18" t="n">
        <v>302</v>
      </c>
      <c r="L318" s="18" t="n">
        <v>326</v>
      </c>
      <c r="M318" s="18" t="n">
        <v>323</v>
      </c>
      <c r="N318" s="18" t="n">
        <v>290</v>
      </c>
      <c r="O318" s="18" t="n">
        <v>328</v>
      </c>
      <c r="P318" s="18" t="n">
        <v>329</v>
      </c>
      <c r="Q318" s="18" t="n">
        <v>31</v>
      </c>
      <c r="R318" s="18" t="n">
        <v>33</v>
      </c>
      <c r="S318" s="18" t="n">
        <v>33</v>
      </c>
      <c r="T318" s="18" t="n">
        <v>29</v>
      </c>
      <c r="U318" s="18" t="n">
        <v>33</v>
      </c>
      <c r="V318" s="18" t="n">
        <v>33</v>
      </c>
      <c r="W318" s="20" t="n"/>
      <c r="X318" s="20" t="n"/>
      <c r="Y318" s="20" t="n"/>
      <c r="Z318" s="20" t="n"/>
      <c r="AA318" s="20" t="n"/>
      <c r="AB318" s="20" t="n"/>
      <c r="AC318" s="21">
        <f>IF(W318="","",W318-K318)</f>
        <v/>
      </c>
      <c r="AD318" s="21">
        <f>IF(X318="","",X318-L318)</f>
        <v/>
      </c>
      <c r="AE318" s="21">
        <f>IF(Y318="","",Y318-M318)</f>
        <v/>
      </c>
      <c r="AF318" s="21">
        <f>IF(Z318="","",Z318-N318)</f>
        <v/>
      </c>
      <c r="AG318" s="21">
        <f>IF(AA318="","",AA318-O318)</f>
        <v/>
      </c>
      <c r="AH318" s="21">
        <f>IF(AB318="","",AB318-P318)</f>
        <v/>
      </c>
      <c r="AI318" s="18">
        <f>IF(COUNTA(W318:AB318)=0,"未入力",IF(COUNTA(W318:AB318)&lt;6,"一部入力",IF(COUNTIF(AC318:AH318,0)=6,"一致","差分あり")))</f>
        <v/>
      </c>
      <c r="AJ3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8" s="19" t="inlineStr"/>
      <c r="AL318" s="18" t="inlineStr">
        <is>
          <t>2026-06-29</t>
        </is>
      </c>
    </row>
    <row r="319" ht="22" customHeight="1">
      <c r="A319" s="17" t="inlineStr">
        <is>
          <t>1004202-LB0</t>
        </is>
      </c>
      <c r="B319" s="18" t="n">
        <v>1004202</v>
      </c>
      <c r="C319" s="17" t="inlineStr">
        <is>
          <t>MTsukishiro02</t>
        </is>
      </c>
      <c r="D319" s="17" t="inlineStr">
        <is>
          <t>MTsukishiro</t>
        </is>
      </c>
      <c r="E319" s="17" t="inlineStr">
        <is>
          <t>月城 最中</t>
        </is>
      </c>
      <c r="F319" s="19" t="inlineStr">
        <is>
          <t>黄昏、久遠の夢</t>
        </is>
      </c>
      <c r="G319" s="18" t="inlineStr">
        <is>
          <t>S</t>
        </is>
      </c>
      <c r="H319" s="17" t="inlineStr">
        <is>
          <t>Attacker</t>
        </is>
      </c>
      <c r="I319" s="18" t="n">
        <v>0</v>
      </c>
      <c r="J319" s="18" t="n">
        <v>10</v>
      </c>
      <c r="K319" s="18" t="n">
        <v>329</v>
      </c>
      <c r="L319" s="18" t="n">
        <v>310</v>
      </c>
      <c r="M319" s="18" t="n">
        <v>350</v>
      </c>
      <c r="N319" s="18" t="n">
        <v>350</v>
      </c>
      <c r="O319" s="18" t="n">
        <v>301</v>
      </c>
      <c r="P319" s="18" t="n">
        <v>311</v>
      </c>
      <c r="Q319" s="18" t="n">
        <v>33</v>
      </c>
      <c r="R319" s="18" t="n">
        <v>31</v>
      </c>
      <c r="S319" s="18" t="n">
        <v>35</v>
      </c>
      <c r="T319" s="18" t="n">
        <v>35</v>
      </c>
      <c r="U319" s="18" t="n">
        <v>31</v>
      </c>
      <c r="V319" s="18" t="n">
        <v>32</v>
      </c>
      <c r="W319" s="20" t="n"/>
      <c r="X319" s="20" t="n"/>
      <c r="Y319" s="20" t="n"/>
      <c r="Z319" s="20" t="n"/>
      <c r="AA319" s="20" t="n"/>
      <c r="AB319" s="20" t="n"/>
      <c r="AC319" s="21">
        <f>IF(W319="","",W319-K319)</f>
        <v/>
      </c>
      <c r="AD319" s="21">
        <f>IF(X319="","",X319-L319)</f>
        <v/>
      </c>
      <c r="AE319" s="21">
        <f>IF(Y319="","",Y319-M319)</f>
        <v/>
      </c>
      <c r="AF319" s="21">
        <f>IF(Z319="","",Z319-N319)</f>
        <v/>
      </c>
      <c r="AG319" s="21">
        <f>IF(AA319="","",AA319-O319)</f>
        <v/>
      </c>
      <c r="AH319" s="21">
        <f>IF(AB319="","",AB319-P319)</f>
        <v/>
      </c>
      <c r="AI319" s="18">
        <f>IF(COUNTA(W319:AB319)=0,"未入力",IF(COUNTA(W319:AB319)&lt;6,"一部入力",IF(COUNTIF(AC319:AH319,0)=6,"一致","差分あり")))</f>
        <v/>
      </c>
      <c r="AJ3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19" s="19" t="inlineStr"/>
      <c r="AL319" s="18" t="inlineStr">
        <is>
          <t>2026-06-29</t>
        </is>
      </c>
    </row>
    <row r="320" ht="22" customHeight="1">
      <c r="A320" s="17" t="inlineStr">
        <is>
          <t>1004202-LB10</t>
        </is>
      </c>
      <c r="B320" s="18" t="n">
        <v>1004202</v>
      </c>
      <c r="C320" s="17" t="inlineStr">
        <is>
          <t>MTsukishiro02</t>
        </is>
      </c>
      <c r="D320" s="17" t="inlineStr">
        <is>
          <t>MTsukishiro</t>
        </is>
      </c>
      <c r="E320" s="17" t="inlineStr">
        <is>
          <t>月城 最中</t>
        </is>
      </c>
      <c r="F320" s="19" t="inlineStr">
        <is>
          <t>黄昏、久遠の夢</t>
        </is>
      </c>
      <c r="G320" s="18" t="inlineStr">
        <is>
          <t>S</t>
        </is>
      </c>
      <c r="H320" s="17" t="inlineStr">
        <is>
          <t>Attacker</t>
        </is>
      </c>
      <c r="I320" s="18" t="n">
        <v>10</v>
      </c>
      <c r="J320" s="18" t="n">
        <v>10</v>
      </c>
      <c r="K320" s="18" t="n">
        <v>398</v>
      </c>
      <c r="L320" s="18" t="n">
        <v>375</v>
      </c>
      <c r="M320" s="18" t="n">
        <v>416</v>
      </c>
      <c r="N320" s="18" t="n">
        <v>416</v>
      </c>
      <c r="O320" s="18" t="n">
        <v>365</v>
      </c>
      <c r="P320" s="18" t="n">
        <v>378</v>
      </c>
      <c r="Q320" s="18" t="n">
        <v>40</v>
      </c>
      <c r="R320" s="18" t="n">
        <v>38</v>
      </c>
      <c r="S320" s="18" t="n">
        <v>42</v>
      </c>
      <c r="T320" s="18" t="n">
        <v>42</v>
      </c>
      <c r="U320" s="18" t="n">
        <v>37</v>
      </c>
      <c r="V320" s="18" t="n">
        <v>38</v>
      </c>
      <c r="W320" s="20" t="n"/>
      <c r="X320" s="20" t="n"/>
      <c r="Y320" s="20" t="n"/>
      <c r="Z320" s="20" t="n"/>
      <c r="AA320" s="20" t="n"/>
      <c r="AB320" s="20" t="n"/>
      <c r="AC320" s="21">
        <f>IF(W320="","",W320-K320)</f>
        <v/>
      </c>
      <c r="AD320" s="21">
        <f>IF(X320="","",X320-L320)</f>
        <v/>
      </c>
      <c r="AE320" s="21">
        <f>IF(Y320="","",Y320-M320)</f>
        <v/>
      </c>
      <c r="AF320" s="21">
        <f>IF(Z320="","",Z320-N320)</f>
        <v/>
      </c>
      <c r="AG320" s="21">
        <f>IF(AA320="","",AA320-O320)</f>
        <v/>
      </c>
      <c r="AH320" s="21">
        <f>IF(AB320="","",AB320-P320)</f>
        <v/>
      </c>
      <c r="AI320" s="18">
        <f>IF(COUNTA(W320:AB320)=0,"未入力",IF(COUNTA(W320:AB320)&lt;6,"一部入力",IF(COUNTIF(AC320:AH320,0)=6,"一致","差分あり")))</f>
        <v/>
      </c>
      <c r="AJ3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0" s="19" t="inlineStr"/>
      <c r="AL320" s="18" t="inlineStr">
        <is>
          <t>2026-06-29</t>
        </is>
      </c>
    </row>
    <row r="321" ht="22" customHeight="1">
      <c r="A321" s="17" t="inlineStr">
        <is>
          <t>1004203-LB0</t>
        </is>
      </c>
      <c r="B321" s="18" t="n">
        <v>1004203</v>
      </c>
      <c r="C321" s="17" t="inlineStr">
        <is>
          <t>MTsukishiro03</t>
        </is>
      </c>
      <c r="D321" s="17" t="inlineStr">
        <is>
          <t>MTsukishiro</t>
        </is>
      </c>
      <c r="E321" s="17" t="inlineStr">
        <is>
          <t>月城 最中</t>
        </is>
      </c>
      <c r="F321" s="19" t="inlineStr">
        <is>
          <t>真宵晴るれば、一閃心静</t>
        </is>
      </c>
      <c r="G321" s="18" t="inlineStr">
        <is>
          <t>SS</t>
        </is>
      </c>
      <c r="H321" s="17" t="inlineStr">
        <is>
          <t>Attacker</t>
        </is>
      </c>
      <c r="I321" s="18" t="n">
        <v>0</v>
      </c>
      <c r="J321" s="18" t="n">
        <v>4</v>
      </c>
      <c r="K321" s="18" t="n">
        <v>427</v>
      </c>
      <c r="L321" s="18" t="n">
        <v>335</v>
      </c>
      <c r="M321" s="18" t="n">
        <v>364</v>
      </c>
      <c r="N321" s="18" t="n">
        <v>377</v>
      </c>
      <c r="O321" s="18" t="n">
        <v>371</v>
      </c>
      <c r="P321" s="18" t="n">
        <v>396</v>
      </c>
      <c r="Q321" s="18" t="n">
        <v>43</v>
      </c>
      <c r="R321" s="18" t="n">
        <v>34</v>
      </c>
      <c r="S321" s="18" t="n">
        <v>37</v>
      </c>
      <c r="T321" s="18" t="n">
        <v>38</v>
      </c>
      <c r="U321" s="18" t="n">
        <v>38</v>
      </c>
      <c r="V321" s="18" t="n">
        <v>40</v>
      </c>
      <c r="W321" s="20" t="n"/>
      <c r="X321" s="20" t="n"/>
      <c r="Y321" s="20" t="n"/>
      <c r="Z321" s="20" t="n"/>
      <c r="AA321" s="20" t="n"/>
      <c r="AB321" s="20" t="n"/>
      <c r="AC321" s="21">
        <f>IF(W321="","",W321-K321)</f>
        <v/>
      </c>
      <c r="AD321" s="21">
        <f>IF(X321="","",X321-L321)</f>
        <v/>
      </c>
      <c r="AE321" s="21">
        <f>IF(Y321="","",Y321-M321)</f>
        <v/>
      </c>
      <c r="AF321" s="21">
        <f>IF(Z321="","",Z321-N321)</f>
        <v/>
      </c>
      <c r="AG321" s="21">
        <f>IF(AA321="","",AA321-O321)</f>
        <v/>
      </c>
      <c r="AH321" s="21">
        <f>IF(AB321="","",AB321-P321)</f>
        <v/>
      </c>
      <c r="AI321" s="18">
        <f>IF(COUNTA(W321:AB321)=0,"未入力",IF(COUNTA(W321:AB321)&lt;6,"一部入力",IF(COUNTIF(AC321:AH321,0)=6,"一致","差分あり")))</f>
        <v/>
      </c>
      <c r="AJ3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1" s="19" t="inlineStr"/>
      <c r="AL321" s="18" t="inlineStr">
        <is>
          <t>2026-06-29</t>
        </is>
      </c>
    </row>
    <row r="322" ht="22" customHeight="1">
      <c r="A322" s="17" t="inlineStr">
        <is>
          <t>1004203-LB4</t>
        </is>
      </c>
      <c r="B322" s="18" t="n">
        <v>1004203</v>
      </c>
      <c r="C322" s="17" t="inlineStr">
        <is>
          <t>MTsukishiro03</t>
        </is>
      </c>
      <c r="D322" s="17" t="inlineStr">
        <is>
          <t>MTsukishiro</t>
        </is>
      </c>
      <c r="E322" s="17" t="inlineStr">
        <is>
          <t>月城 最中</t>
        </is>
      </c>
      <c r="F322" s="19" t="inlineStr">
        <is>
          <t>真宵晴るれば、一閃心静</t>
        </is>
      </c>
      <c r="G322" s="18" t="inlineStr">
        <is>
          <t>SS</t>
        </is>
      </c>
      <c r="H322" s="17" t="inlineStr">
        <is>
          <t>Attacker</t>
        </is>
      </c>
      <c r="I322" s="18" t="n">
        <v>4</v>
      </c>
      <c r="J322" s="18" t="n">
        <v>4</v>
      </c>
      <c r="K322" s="18" t="n">
        <v>518</v>
      </c>
      <c r="L322" s="18" t="n">
        <v>421</v>
      </c>
      <c r="M322" s="18" t="n">
        <v>452</v>
      </c>
      <c r="N322" s="18" t="n">
        <v>465</v>
      </c>
      <c r="O322" s="18" t="n">
        <v>457</v>
      </c>
      <c r="P322" s="18" t="n">
        <v>485</v>
      </c>
      <c r="Q322" s="18" t="n">
        <v>52</v>
      </c>
      <c r="R322" s="18" t="n">
        <v>43</v>
      </c>
      <c r="S322" s="18" t="n">
        <v>46</v>
      </c>
      <c r="T322" s="18" t="n">
        <v>47</v>
      </c>
      <c r="U322" s="18" t="n">
        <v>46</v>
      </c>
      <c r="V322" s="18" t="n">
        <v>49</v>
      </c>
      <c r="W322" s="20" t="n"/>
      <c r="X322" s="20" t="n"/>
      <c r="Y322" s="20" t="n"/>
      <c r="Z322" s="20" t="n"/>
      <c r="AA322" s="20" t="n"/>
      <c r="AB322" s="20" t="n"/>
      <c r="AC322" s="21">
        <f>IF(W322="","",W322-K322)</f>
        <v/>
      </c>
      <c r="AD322" s="21">
        <f>IF(X322="","",X322-L322)</f>
        <v/>
      </c>
      <c r="AE322" s="21">
        <f>IF(Y322="","",Y322-M322)</f>
        <v/>
      </c>
      <c r="AF322" s="21">
        <f>IF(Z322="","",Z322-N322)</f>
        <v/>
      </c>
      <c r="AG322" s="21">
        <f>IF(AA322="","",AA322-O322)</f>
        <v/>
      </c>
      <c r="AH322" s="21">
        <f>IF(AB322="","",AB322-P322)</f>
        <v/>
      </c>
      <c r="AI322" s="18">
        <f>IF(COUNTA(W322:AB322)=0,"未入力",IF(COUNTA(W322:AB322)&lt;6,"一部入力",IF(COUNTIF(AC322:AH322,0)=6,"一致","差分あり")))</f>
        <v/>
      </c>
      <c r="AJ3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2" s="19" t="inlineStr"/>
      <c r="AL322" s="18" t="inlineStr">
        <is>
          <t>2026-06-29</t>
        </is>
      </c>
    </row>
    <row r="323" ht="22" customHeight="1">
      <c r="A323" s="17" t="inlineStr">
        <is>
          <t>1004204-LB0</t>
        </is>
      </c>
      <c r="B323" s="18" t="n">
        <v>1004204</v>
      </c>
      <c r="C323" s="17" t="inlineStr">
        <is>
          <t>MTsukishiro04</t>
        </is>
      </c>
      <c r="D323" s="17" t="inlineStr">
        <is>
          <t>MTsukishiro</t>
        </is>
      </c>
      <c r="E323" s="17" t="inlineStr">
        <is>
          <t>月城 最中</t>
        </is>
      </c>
      <c r="F323" s="19" t="inlineStr">
        <is>
          <t>掩蔽された暇</t>
        </is>
      </c>
      <c r="G323" s="18" t="inlineStr">
        <is>
          <t>SS</t>
        </is>
      </c>
      <c r="H323" s="17" t="inlineStr">
        <is>
          <t>Attacker</t>
        </is>
      </c>
      <c r="I323" s="18" t="n">
        <v>0</v>
      </c>
      <c r="J323" s="18" t="n">
        <v>4</v>
      </c>
      <c r="K323" s="18" t="n">
        <v>450</v>
      </c>
      <c r="L323" s="18" t="n">
        <v>356</v>
      </c>
      <c r="M323" s="18" t="n">
        <v>386</v>
      </c>
      <c r="N323" s="18" t="n">
        <v>399</v>
      </c>
      <c r="O323" s="18" t="n">
        <v>392</v>
      </c>
      <c r="P323" s="18" t="n">
        <v>419</v>
      </c>
      <c r="Q323" s="18" t="n">
        <v>45</v>
      </c>
      <c r="R323" s="18" t="n">
        <v>36</v>
      </c>
      <c r="S323" s="18" t="n">
        <v>39</v>
      </c>
      <c r="T323" s="18" t="n">
        <v>40</v>
      </c>
      <c r="U323" s="18" t="n">
        <v>40</v>
      </c>
      <c r="V323" s="18" t="n">
        <v>42</v>
      </c>
      <c r="W323" s="20" t="n"/>
      <c r="X323" s="20" t="n"/>
      <c r="Y323" s="20" t="n"/>
      <c r="Z323" s="20" t="n"/>
      <c r="AA323" s="20" t="n"/>
      <c r="AB323" s="20" t="n"/>
      <c r="AC323" s="21">
        <f>IF(W323="","",W323-K323)</f>
        <v/>
      </c>
      <c r="AD323" s="21">
        <f>IF(X323="","",X323-L323)</f>
        <v/>
      </c>
      <c r="AE323" s="21">
        <f>IF(Y323="","",Y323-M323)</f>
        <v/>
      </c>
      <c r="AF323" s="21">
        <f>IF(Z323="","",Z323-N323)</f>
        <v/>
      </c>
      <c r="AG323" s="21">
        <f>IF(AA323="","",AA323-O323)</f>
        <v/>
      </c>
      <c r="AH323" s="21">
        <f>IF(AB323="","",AB323-P323)</f>
        <v/>
      </c>
      <c r="AI323" s="18">
        <f>IF(COUNTA(W323:AB323)=0,"未入力",IF(COUNTA(W323:AB323)&lt;6,"一部入力",IF(COUNTIF(AC323:AH323,0)=6,"一致","差分あり")))</f>
        <v/>
      </c>
      <c r="AJ3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3" s="19" t="inlineStr"/>
      <c r="AL323" s="18" t="inlineStr">
        <is>
          <t>2026-06-29</t>
        </is>
      </c>
    </row>
    <row r="324" ht="22" customHeight="1">
      <c r="A324" s="17" t="inlineStr">
        <is>
          <t>1004204-LB4</t>
        </is>
      </c>
      <c r="B324" s="18" t="n">
        <v>1004204</v>
      </c>
      <c r="C324" s="17" t="inlineStr">
        <is>
          <t>MTsukishiro04</t>
        </is>
      </c>
      <c r="D324" s="17" t="inlineStr">
        <is>
          <t>MTsukishiro</t>
        </is>
      </c>
      <c r="E324" s="17" t="inlineStr">
        <is>
          <t>月城 最中</t>
        </is>
      </c>
      <c r="F324" s="19" t="inlineStr">
        <is>
          <t>掩蔽された暇</t>
        </is>
      </c>
      <c r="G324" s="18" t="inlineStr">
        <is>
          <t>SS</t>
        </is>
      </c>
      <c r="H324" s="17" t="inlineStr">
        <is>
          <t>Attacker</t>
        </is>
      </c>
      <c r="I324" s="18" t="n">
        <v>4</v>
      </c>
      <c r="J324" s="18" t="n">
        <v>4</v>
      </c>
      <c r="K324" s="18" t="n">
        <v>541</v>
      </c>
      <c r="L324" s="18" t="n">
        <v>442</v>
      </c>
      <c r="M324" s="18" t="n">
        <v>473</v>
      </c>
      <c r="N324" s="18" t="n">
        <v>486</v>
      </c>
      <c r="O324" s="18" t="n">
        <v>478</v>
      </c>
      <c r="P324" s="18" t="n">
        <v>508</v>
      </c>
      <c r="Q324" s="18" t="n">
        <v>55</v>
      </c>
      <c r="R324" s="18" t="n">
        <v>45</v>
      </c>
      <c r="S324" s="18" t="n">
        <v>48</v>
      </c>
      <c r="T324" s="18" t="n">
        <v>49</v>
      </c>
      <c r="U324" s="18" t="n">
        <v>48</v>
      </c>
      <c r="V324" s="18" t="n">
        <v>51</v>
      </c>
      <c r="W324" s="20" t="n"/>
      <c r="X324" s="20" t="n"/>
      <c r="Y324" s="20" t="n"/>
      <c r="Z324" s="20" t="n"/>
      <c r="AA324" s="20" t="n"/>
      <c r="AB324" s="20" t="n"/>
      <c r="AC324" s="21">
        <f>IF(W324="","",W324-K324)</f>
        <v/>
      </c>
      <c r="AD324" s="21">
        <f>IF(X324="","",X324-L324)</f>
        <v/>
      </c>
      <c r="AE324" s="21">
        <f>IF(Y324="","",Y324-M324)</f>
        <v/>
      </c>
      <c r="AF324" s="21">
        <f>IF(Z324="","",Z324-N324)</f>
        <v/>
      </c>
      <c r="AG324" s="21">
        <f>IF(AA324="","",AA324-O324)</f>
        <v/>
      </c>
      <c r="AH324" s="21">
        <f>IF(AB324="","",AB324-P324)</f>
        <v/>
      </c>
      <c r="AI324" s="18">
        <f>IF(COUNTA(W324:AB324)=0,"未入力",IF(COUNTA(W324:AB324)&lt;6,"一部入力",IF(COUNTIF(AC324:AH324,0)=6,"一致","差分あり")))</f>
        <v/>
      </c>
      <c r="AJ3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4" s="19" t="inlineStr"/>
      <c r="AL324" s="18" t="inlineStr">
        <is>
          <t>2026-06-29</t>
        </is>
      </c>
    </row>
    <row r="325" ht="22" customHeight="1">
      <c r="A325" s="17" t="inlineStr">
        <is>
          <t>1004205-LB0</t>
        </is>
      </c>
      <c r="B325" s="18" t="n">
        <v>1004205</v>
      </c>
      <c r="C325" s="17" t="inlineStr">
        <is>
          <t>MTsukishiro05</t>
        </is>
      </c>
      <c r="D325" s="17" t="inlineStr">
        <is>
          <t>MTsukishiro</t>
        </is>
      </c>
      <c r="E325" s="17" t="inlineStr">
        <is>
          <t>月城 最中</t>
        </is>
      </c>
      <c r="F325" s="19" t="inlineStr">
        <is>
          <t>君想う春吹雪</t>
        </is>
      </c>
      <c r="G325" s="18" t="inlineStr">
        <is>
          <t>SS</t>
        </is>
      </c>
      <c r="H325" s="17" t="inlineStr">
        <is>
          <t>Attacker</t>
        </is>
      </c>
      <c r="I325" s="18" t="n">
        <v>0</v>
      </c>
      <c r="J325" s="18" t="n">
        <v>4</v>
      </c>
      <c r="K325" s="18" t="n">
        <v>450</v>
      </c>
      <c r="L325" s="18" t="n">
        <v>356</v>
      </c>
      <c r="M325" s="18" t="n">
        <v>386</v>
      </c>
      <c r="N325" s="18" t="n">
        <v>399</v>
      </c>
      <c r="O325" s="18" t="n">
        <v>392</v>
      </c>
      <c r="P325" s="18" t="n">
        <v>419</v>
      </c>
      <c r="Q325" s="18" t="n">
        <v>45</v>
      </c>
      <c r="R325" s="18" t="n">
        <v>36</v>
      </c>
      <c r="S325" s="18" t="n">
        <v>39</v>
      </c>
      <c r="T325" s="18" t="n">
        <v>40</v>
      </c>
      <c r="U325" s="18" t="n">
        <v>40</v>
      </c>
      <c r="V325" s="18" t="n">
        <v>42</v>
      </c>
      <c r="W325" s="20" t="n"/>
      <c r="X325" s="20" t="n"/>
      <c r="Y325" s="20" t="n"/>
      <c r="Z325" s="20" t="n"/>
      <c r="AA325" s="20" t="n"/>
      <c r="AB325" s="20" t="n"/>
      <c r="AC325" s="21">
        <f>IF(W325="","",W325-K325)</f>
        <v/>
      </c>
      <c r="AD325" s="21">
        <f>IF(X325="","",X325-L325)</f>
        <v/>
      </c>
      <c r="AE325" s="21">
        <f>IF(Y325="","",Y325-M325)</f>
        <v/>
      </c>
      <c r="AF325" s="21">
        <f>IF(Z325="","",Z325-N325)</f>
        <v/>
      </c>
      <c r="AG325" s="21">
        <f>IF(AA325="","",AA325-O325)</f>
        <v/>
      </c>
      <c r="AH325" s="21">
        <f>IF(AB325="","",AB325-P325)</f>
        <v/>
      </c>
      <c r="AI325" s="18">
        <f>IF(COUNTA(W325:AB325)=0,"未入力",IF(COUNTA(W325:AB325)&lt;6,"一部入力",IF(COUNTIF(AC325:AH325,0)=6,"一致","差分あり")))</f>
        <v/>
      </c>
      <c r="AJ3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5" s="19" t="inlineStr"/>
      <c r="AL325" s="18" t="inlineStr">
        <is>
          <t>2026-06-29</t>
        </is>
      </c>
    </row>
    <row r="326" ht="22" customHeight="1">
      <c r="A326" s="17" t="inlineStr">
        <is>
          <t>1004205-LB4</t>
        </is>
      </c>
      <c r="B326" s="18" t="n">
        <v>1004205</v>
      </c>
      <c r="C326" s="17" t="inlineStr">
        <is>
          <t>MTsukishiro05</t>
        </is>
      </c>
      <c r="D326" s="17" t="inlineStr">
        <is>
          <t>MTsukishiro</t>
        </is>
      </c>
      <c r="E326" s="17" t="inlineStr">
        <is>
          <t>月城 最中</t>
        </is>
      </c>
      <c r="F326" s="19" t="inlineStr">
        <is>
          <t>君想う春吹雪</t>
        </is>
      </c>
      <c r="G326" s="18" t="inlineStr">
        <is>
          <t>SS</t>
        </is>
      </c>
      <c r="H326" s="17" t="inlineStr">
        <is>
          <t>Attacker</t>
        </is>
      </c>
      <c r="I326" s="18" t="n">
        <v>4</v>
      </c>
      <c r="J326" s="18" t="n">
        <v>4</v>
      </c>
      <c r="K326" s="18" t="n">
        <v>541</v>
      </c>
      <c r="L326" s="18" t="n">
        <v>442</v>
      </c>
      <c r="M326" s="18" t="n">
        <v>473</v>
      </c>
      <c r="N326" s="18" t="n">
        <v>486</v>
      </c>
      <c r="O326" s="18" t="n">
        <v>478</v>
      </c>
      <c r="P326" s="18" t="n">
        <v>508</v>
      </c>
      <c r="Q326" s="18" t="n">
        <v>55</v>
      </c>
      <c r="R326" s="18" t="n">
        <v>45</v>
      </c>
      <c r="S326" s="18" t="n">
        <v>48</v>
      </c>
      <c r="T326" s="18" t="n">
        <v>49</v>
      </c>
      <c r="U326" s="18" t="n">
        <v>48</v>
      </c>
      <c r="V326" s="18" t="n">
        <v>51</v>
      </c>
      <c r="W326" s="20" t="n"/>
      <c r="X326" s="20" t="n"/>
      <c r="Y326" s="20" t="n"/>
      <c r="Z326" s="20" t="n"/>
      <c r="AA326" s="20" t="n"/>
      <c r="AB326" s="20" t="n"/>
      <c r="AC326" s="21">
        <f>IF(W326="","",W326-K326)</f>
        <v/>
      </c>
      <c r="AD326" s="21">
        <f>IF(X326="","",X326-L326)</f>
        <v/>
      </c>
      <c r="AE326" s="21">
        <f>IF(Y326="","",Y326-M326)</f>
        <v/>
      </c>
      <c r="AF326" s="21">
        <f>IF(Z326="","",Z326-N326)</f>
        <v/>
      </c>
      <c r="AG326" s="21">
        <f>IF(AA326="","",AA326-O326)</f>
        <v/>
      </c>
      <c r="AH326" s="21">
        <f>IF(AB326="","",AB326-P326)</f>
        <v/>
      </c>
      <c r="AI326" s="18">
        <f>IF(COUNTA(W326:AB326)=0,"未入力",IF(COUNTA(W326:AB326)&lt;6,"一部入力",IF(COUNTIF(AC326:AH326,0)=6,"一致","差分あり")))</f>
        <v/>
      </c>
      <c r="AJ3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6" s="19" t="inlineStr"/>
      <c r="AL326" s="18" t="inlineStr">
        <is>
          <t>2026-06-29</t>
        </is>
      </c>
    </row>
    <row r="327" ht="22" customHeight="1">
      <c r="A327" s="17" t="inlineStr">
        <is>
          <t>1004206-LB0</t>
        </is>
      </c>
      <c r="B327" s="18" t="n">
        <v>1004206</v>
      </c>
      <c r="C327" s="17" t="inlineStr">
        <is>
          <t>MTsukishiro06</t>
        </is>
      </c>
      <c r="D327" s="17" t="inlineStr">
        <is>
          <t>MTsukishiro</t>
        </is>
      </c>
      <c r="E327" s="17" t="inlineStr">
        <is>
          <t>月城 最中</t>
        </is>
      </c>
      <c r="F327" s="19" t="inlineStr">
        <is>
          <t>灼熱！炎のサービスエース</t>
        </is>
      </c>
      <c r="G327" s="18" t="inlineStr">
        <is>
          <t>S</t>
        </is>
      </c>
      <c r="H327" s="17" t="inlineStr">
        <is>
          <t>Debuffer</t>
        </is>
      </c>
      <c r="I327" s="18" t="n">
        <v>0</v>
      </c>
      <c r="J327" s="18" t="n">
        <v>10</v>
      </c>
      <c r="K327" s="18" t="n">
        <v>329</v>
      </c>
      <c r="L327" s="18" t="n">
        <v>310</v>
      </c>
      <c r="M327" s="18" t="n">
        <v>350</v>
      </c>
      <c r="N327" s="18" t="n">
        <v>350</v>
      </c>
      <c r="O327" s="18" t="n">
        <v>301</v>
      </c>
      <c r="P327" s="18" t="n">
        <v>311</v>
      </c>
      <c r="Q327" s="18" t="n">
        <v>33</v>
      </c>
      <c r="R327" s="18" t="n">
        <v>31</v>
      </c>
      <c r="S327" s="18" t="n">
        <v>35</v>
      </c>
      <c r="T327" s="18" t="n">
        <v>35</v>
      </c>
      <c r="U327" s="18" t="n">
        <v>31</v>
      </c>
      <c r="V327" s="18" t="n">
        <v>32</v>
      </c>
      <c r="W327" s="20" t="n"/>
      <c r="X327" s="20" t="n"/>
      <c r="Y327" s="20" t="n"/>
      <c r="Z327" s="20" t="n"/>
      <c r="AA327" s="20" t="n"/>
      <c r="AB327" s="20" t="n"/>
      <c r="AC327" s="21">
        <f>IF(W327="","",W327-K327)</f>
        <v/>
      </c>
      <c r="AD327" s="21">
        <f>IF(X327="","",X327-L327)</f>
        <v/>
      </c>
      <c r="AE327" s="21">
        <f>IF(Y327="","",Y327-M327)</f>
        <v/>
      </c>
      <c r="AF327" s="21">
        <f>IF(Z327="","",Z327-N327)</f>
        <v/>
      </c>
      <c r="AG327" s="21">
        <f>IF(AA327="","",AA327-O327)</f>
        <v/>
      </c>
      <c r="AH327" s="21">
        <f>IF(AB327="","",AB327-P327)</f>
        <v/>
      </c>
      <c r="AI327" s="18">
        <f>IF(COUNTA(W327:AB327)=0,"未入力",IF(COUNTA(W327:AB327)&lt;6,"一部入力",IF(COUNTIF(AC327:AH327,0)=6,"一致","差分あり")))</f>
        <v/>
      </c>
      <c r="AJ3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7" s="19" t="inlineStr"/>
      <c r="AL327" s="18" t="inlineStr">
        <is>
          <t>2026-06-29</t>
        </is>
      </c>
    </row>
    <row r="328" ht="22" customHeight="1">
      <c r="A328" s="17" t="inlineStr">
        <is>
          <t>1004206-LB10</t>
        </is>
      </c>
      <c r="B328" s="18" t="n">
        <v>1004206</v>
      </c>
      <c r="C328" s="17" t="inlineStr">
        <is>
          <t>MTsukishiro06</t>
        </is>
      </c>
      <c r="D328" s="17" t="inlineStr">
        <is>
          <t>MTsukishiro</t>
        </is>
      </c>
      <c r="E328" s="17" t="inlineStr">
        <is>
          <t>月城 最中</t>
        </is>
      </c>
      <c r="F328" s="19" t="inlineStr">
        <is>
          <t>灼熱！炎のサービスエース</t>
        </is>
      </c>
      <c r="G328" s="18" t="inlineStr">
        <is>
          <t>S</t>
        </is>
      </c>
      <c r="H328" s="17" t="inlineStr">
        <is>
          <t>Debuffer</t>
        </is>
      </c>
      <c r="I328" s="18" t="n">
        <v>10</v>
      </c>
      <c r="J328" s="18" t="n">
        <v>10</v>
      </c>
      <c r="K328" s="18" t="n">
        <v>398</v>
      </c>
      <c r="L328" s="18" t="n">
        <v>375</v>
      </c>
      <c r="M328" s="18" t="n">
        <v>416</v>
      </c>
      <c r="N328" s="18" t="n">
        <v>416</v>
      </c>
      <c r="O328" s="18" t="n">
        <v>365</v>
      </c>
      <c r="P328" s="18" t="n">
        <v>378</v>
      </c>
      <c r="Q328" s="18" t="n">
        <v>40</v>
      </c>
      <c r="R328" s="18" t="n">
        <v>38</v>
      </c>
      <c r="S328" s="18" t="n">
        <v>42</v>
      </c>
      <c r="T328" s="18" t="n">
        <v>42</v>
      </c>
      <c r="U328" s="18" t="n">
        <v>37</v>
      </c>
      <c r="V328" s="18" t="n">
        <v>38</v>
      </c>
      <c r="W328" s="20" t="n"/>
      <c r="X328" s="20" t="n"/>
      <c r="Y328" s="20" t="n"/>
      <c r="Z328" s="20" t="n"/>
      <c r="AA328" s="20" t="n"/>
      <c r="AB328" s="20" t="n"/>
      <c r="AC328" s="21">
        <f>IF(W328="","",W328-K328)</f>
        <v/>
      </c>
      <c r="AD328" s="21">
        <f>IF(X328="","",X328-L328)</f>
        <v/>
      </c>
      <c r="AE328" s="21">
        <f>IF(Y328="","",Y328-M328)</f>
        <v/>
      </c>
      <c r="AF328" s="21">
        <f>IF(Z328="","",Z328-N328)</f>
        <v/>
      </c>
      <c r="AG328" s="21">
        <f>IF(AA328="","",AA328-O328)</f>
        <v/>
      </c>
      <c r="AH328" s="21">
        <f>IF(AB328="","",AB328-P328)</f>
        <v/>
      </c>
      <c r="AI328" s="18">
        <f>IF(COUNTA(W328:AB328)=0,"未入力",IF(COUNTA(W328:AB328)&lt;6,"一部入力",IF(COUNTIF(AC328:AH328,0)=6,"一致","差分あり")))</f>
        <v/>
      </c>
      <c r="AJ3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8" s="19" t="inlineStr"/>
      <c r="AL328" s="18" t="inlineStr">
        <is>
          <t>2026-06-29</t>
        </is>
      </c>
    </row>
    <row r="329" ht="22" customHeight="1">
      <c r="A329" s="17" t="inlineStr">
        <is>
          <t>1004207-LB0</t>
        </is>
      </c>
      <c r="B329" s="18" t="n">
        <v>1004207</v>
      </c>
      <c r="C329" s="17" t="inlineStr">
        <is>
          <t>MTsukishiro07</t>
        </is>
      </c>
      <c r="D329" s="17" t="inlineStr">
        <is>
          <t>MTsukishiro</t>
        </is>
      </c>
      <c r="E329" s="17" t="inlineStr">
        <is>
          <t>月城 最中</t>
        </is>
      </c>
      <c r="F329" s="19" t="inlineStr">
        <is>
          <t>不抜の研鑽</t>
        </is>
      </c>
      <c r="G329" s="18" t="inlineStr">
        <is>
          <t>S</t>
        </is>
      </c>
      <c r="H329" s="17" t="inlineStr">
        <is>
          <t>Attacker</t>
        </is>
      </c>
      <c r="I329" s="18" t="n">
        <v>0</v>
      </c>
      <c r="J329" s="18" t="n">
        <v>10</v>
      </c>
      <c r="K329" s="18" t="n">
        <v>360</v>
      </c>
      <c r="L329" s="18" t="n">
        <v>300</v>
      </c>
      <c r="M329" s="18" t="n">
        <v>306</v>
      </c>
      <c r="N329" s="18" t="n">
        <v>317</v>
      </c>
      <c r="O329" s="18" t="n">
        <v>312</v>
      </c>
      <c r="P329" s="18" t="n">
        <v>356</v>
      </c>
      <c r="Q329" s="18" t="n">
        <v>36</v>
      </c>
      <c r="R329" s="18" t="n">
        <v>30</v>
      </c>
      <c r="S329" s="18" t="n">
        <v>31</v>
      </c>
      <c r="T329" s="18" t="n">
        <v>32</v>
      </c>
      <c r="U329" s="18" t="n">
        <v>32</v>
      </c>
      <c r="V329" s="18" t="n">
        <v>36</v>
      </c>
      <c r="W329" s="20" t="n"/>
      <c r="X329" s="20" t="n"/>
      <c r="Y329" s="20" t="n"/>
      <c r="Z329" s="20" t="n"/>
      <c r="AA329" s="20" t="n"/>
      <c r="AB329" s="20" t="n"/>
      <c r="AC329" s="21">
        <f>IF(W329="","",W329-K329)</f>
        <v/>
      </c>
      <c r="AD329" s="21">
        <f>IF(X329="","",X329-L329)</f>
        <v/>
      </c>
      <c r="AE329" s="21">
        <f>IF(Y329="","",Y329-M329)</f>
        <v/>
      </c>
      <c r="AF329" s="21">
        <f>IF(Z329="","",Z329-N329)</f>
        <v/>
      </c>
      <c r="AG329" s="21">
        <f>IF(AA329="","",AA329-O329)</f>
        <v/>
      </c>
      <c r="AH329" s="21">
        <f>IF(AB329="","",AB329-P329)</f>
        <v/>
      </c>
      <c r="AI329" s="18">
        <f>IF(COUNTA(W329:AB329)=0,"未入力",IF(COUNTA(W329:AB329)&lt;6,"一部入力",IF(COUNTIF(AC329:AH329,0)=6,"一致","差分あり")))</f>
        <v/>
      </c>
      <c r="AJ3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29" s="19" t="inlineStr"/>
      <c r="AL329" s="18" t="inlineStr">
        <is>
          <t>2026-06-29</t>
        </is>
      </c>
    </row>
    <row r="330" ht="22" customHeight="1">
      <c r="A330" s="17" t="inlineStr">
        <is>
          <t>1004207-LB10</t>
        </is>
      </c>
      <c r="B330" s="18" t="n">
        <v>1004207</v>
      </c>
      <c r="C330" s="17" t="inlineStr">
        <is>
          <t>MTsukishiro07</t>
        </is>
      </c>
      <c r="D330" s="17" t="inlineStr">
        <is>
          <t>MTsukishiro</t>
        </is>
      </c>
      <c r="E330" s="17" t="inlineStr">
        <is>
          <t>月城 最中</t>
        </is>
      </c>
      <c r="F330" s="19" t="inlineStr">
        <is>
          <t>不抜の研鑽</t>
        </is>
      </c>
      <c r="G330" s="18" t="inlineStr">
        <is>
          <t>S</t>
        </is>
      </c>
      <c r="H330" s="17" t="inlineStr">
        <is>
          <t>Attacker</t>
        </is>
      </c>
      <c r="I330" s="18" t="n">
        <v>10</v>
      </c>
      <c r="J330" s="18" t="n">
        <v>10</v>
      </c>
      <c r="K330" s="18" t="n">
        <v>432</v>
      </c>
      <c r="L330" s="18" t="n">
        <v>364</v>
      </c>
      <c r="M330" s="18" t="n">
        <v>372</v>
      </c>
      <c r="N330" s="18" t="n">
        <v>383</v>
      </c>
      <c r="O330" s="18" t="n">
        <v>376</v>
      </c>
      <c r="P330" s="18" t="n">
        <v>423</v>
      </c>
      <c r="Q330" s="18" t="n">
        <v>44</v>
      </c>
      <c r="R330" s="18" t="n">
        <v>37</v>
      </c>
      <c r="S330" s="18" t="n">
        <v>38</v>
      </c>
      <c r="T330" s="18" t="n">
        <v>39</v>
      </c>
      <c r="U330" s="18" t="n">
        <v>38</v>
      </c>
      <c r="V330" s="18" t="n">
        <v>43</v>
      </c>
      <c r="W330" s="20" t="n"/>
      <c r="X330" s="20" t="n"/>
      <c r="Y330" s="20" t="n"/>
      <c r="Z330" s="20" t="n"/>
      <c r="AA330" s="20" t="n"/>
      <c r="AB330" s="20" t="n"/>
      <c r="AC330" s="21">
        <f>IF(W330="","",W330-K330)</f>
        <v/>
      </c>
      <c r="AD330" s="21">
        <f>IF(X330="","",X330-L330)</f>
        <v/>
      </c>
      <c r="AE330" s="21">
        <f>IF(Y330="","",Y330-M330)</f>
        <v/>
      </c>
      <c r="AF330" s="21">
        <f>IF(Z330="","",Z330-N330)</f>
        <v/>
      </c>
      <c r="AG330" s="21">
        <f>IF(AA330="","",AA330-O330)</f>
        <v/>
      </c>
      <c r="AH330" s="21">
        <f>IF(AB330="","",AB330-P330)</f>
        <v/>
      </c>
      <c r="AI330" s="18">
        <f>IF(COUNTA(W330:AB330)=0,"未入力",IF(COUNTA(W330:AB330)&lt;6,"一部入力",IF(COUNTIF(AC330:AH330,0)=6,"一致","差分あり")))</f>
        <v/>
      </c>
      <c r="AJ3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0" s="19" t="inlineStr"/>
      <c r="AL330" s="18" t="inlineStr">
        <is>
          <t>2026-06-29</t>
        </is>
      </c>
    </row>
    <row r="331" ht="22" customHeight="1">
      <c r="A331" s="17" t="inlineStr">
        <is>
          <t>1004301-LB0</t>
        </is>
      </c>
      <c r="B331" s="18" t="n">
        <v>1004301</v>
      </c>
      <c r="C331" s="17" t="inlineStr">
        <is>
          <t>MKiryu01</t>
        </is>
      </c>
      <c r="D331" s="17" t="inlineStr">
        <is>
          <t>MKiryu</t>
        </is>
      </c>
      <c r="E331" s="17" t="inlineStr">
        <is>
          <t>桐生 美也</t>
        </is>
      </c>
      <c r="F331" s="19" t="inlineStr">
        <is>
          <t>幽幻閑寂いとらうたし</t>
        </is>
      </c>
      <c r="G331" s="18" t="inlineStr">
        <is>
          <t>A</t>
        </is>
      </c>
      <c r="H331" s="17" t="inlineStr">
        <is>
          <t>Debuffer</t>
        </is>
      </c>
      <c r="I331" s="18" t="n">
        <v>0</v>
      </c>
      <c r="J331" s="18" t="n">
        <v>20</v>
      </c>
      <c r="K331" s="18" t="n">
        <v>282</v>
      </c>
      <c r="L331" s="18" t="n">
        <v>284</v>
      </c>
      <c r="M331" s="18" t="n">
        <v>291</v>
      </c>
      <c r="N331" s="18" t="n">
        <v>291</v>
      </c>
      <c r="O331" s="18" t="n">
        <v>247</v>
      </c>
      <c r="P331" s="18" t="n">
        <v>242</v>
      </c>
      <c r="Q331" s="18" t="n">
        <v>29</v>
      </c>
      <c r="R331" s="18" t="n">
        <v>29</v>
      </c>
      <c r="S331" s="18" t="n">
        <v>30</v>
      </c>
      <c r="T331" s="18" t="n">
        <v>30</v>
      </c>
      <c r="U331" s="18" t="n">
        <v>25</v>
      </c>
      <c r="V331" s="18" t="n">
        <v>25</v>
      </c>
      <c r="W331" s="20" t="n"/>
      <c r="X331" s="20" t="n"/>
      <c r="Y331" s="20" t="n"/>
      <c r="Z331" s="20" t="n"/>
      <c r="AA331" s="20" t="n"/>
      <c r="AB331" s="20" t="n"/>
      <c r="AC331" s="21">
        <f>IF(W331="","",W331-K331)</f>
        <v/>
      </c>
      <c r="AD331" s="21">
        <f>IF(X331="","",X331-L331)</f>
        <v/>
      </c>
      <c r="AE331" s="21">
        <f>IF(Y331="","",Y331-M331)</f>
        <v/>
      </c>
      <c r="AF331" s="21">
        <f>IF(Z331="","",Z331-N331)</f>
        <v/>
      </c>
      <c r="AG331" s="21">
        <f>IF(AA331="","",AA331-O331)</f>
        <v/>
      </c>
      <c r="AH331" s="21">
        <f>IF(AB331="","",AB331-P331)</f>
        <v/>
      </c>
      <c r="AI331" s="18">
        <f>IF(COUNTA(W331:AB331)=0,"未入力",IF(COUNTA(W331:AB331)&lt;6,"一部入力",IF(COUNTIF(AC331:AH331,0)=6,"一致","差分あり")))</f>
        <v/>
      </c>
      <c r="AJ3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1" s="19" t="inlineStr"/>
      <c r="AL331" s="18" t="inlineStr">
        <is>
          <t>2026-06-29</t>
        </is>
      </c>
    </row>
    <row r="332" ht="22" customHeight="1">
      <c r="A332" s="17" t="inlineStr">
        <is>
          <t>1004301-LB20</t>
        </is>
      </c>
      <c r="B332" s="18" t="n">
        <v>1004301</v>
      </c>
      <c r="C332" s="17" t="inlineStr">
        <is>
          <t>MKiryu01</t>
        </is>
      </c>
      <c r="D332" s="17" t="inlineStr">
        <is>
          <t>MKiryu</t>
        </is>
      </c>
      <c r="E332" s="17" t="inlineStr">
        <is>
          <t>桐生 美也</t>
        </is>
      </c>
      <c r="F332" s="19" t="inlineStr">
        <is>
          <t>幽幻閑寂いとらうたし</t>
        </is>
      </c>
      <c r="G332" s="18" t="inlineStr">
        <is>
          <t>A</t>
        </is>
      </c>
      <c r="H332" s="17" t="inlineStr">
        <is>
          <t>Debuffer</t>
        </is>
      </c>
      <c r="I332" s="18" t="n">
        <v>20</v>
      </c>
      <c r="J332" s="18" t="n">
        <v>20</v>
      </c>
      <c r="K332" s="18" t="n">
        <v>326</v>
      </c>
      <c r="L332" s="18" t="n">
        <v>329</v>
      </c>
      <c r="M332" s="18" t="n">
        <v>337</v>
      </c>
      <c r="N332" s="18" t="n">
        <v>335</v>
      </c>
      <c r="O332" s="18" t="n">
        <v>291</v>
      </c>
      <c r="P332" s="18" t="n">
        <v>285</v>
      </c>
      <c r="Q332" s="18" t="n">
        <v>33</v>
      </c>
      <c r="R332" s="18" t="n">
        <v>33</v>
      </c>
      <c r="S332" s="18" t="n">
        <v>34</v>
      </c>
      <c r="T332" s="18" t="n">
        <v>34</v>
      </c>
      <c r="U332" s="18" t="n">
        <v>30</v>
      </c>
      <c r="V332" s="18" t="n">
        <v>29</v>
      </c>
      <c r="W332" s="20" t="n"/>
      <c r="X332" s="20" t="n"/>
      <c r="Y332" s="20" t="n"/>
      <c r="Z332" s="20" t="n"/>
      <c r="AA332" s="20" t="n"/>
      <c r="AB332" s="20" t="n"/>
      <c r="AC332" s="21">
        <f>IF(W332="","",W332-K332)</f>
        <v/>
      </c>
      <c r="AD332" s="21">
        <f>IF(X332="","",X332-L332)</f>
        <v/>
      </c>
      <c r="AE332" s="21">
        <f>IF(Y332="","",Y332-M332)</f>
        <v/>
      </c>
      <c r="AF332" s="21">
        <f>IF(Z332="","",Z332-N332)</f>
        <v/>
      </c>
      <c r="AG332" s="21">
        <f>IF(AA332="","",AA332-O332)</f>
        <v/>
      </c>
      <c r="AH332" s="21">
        <f>IF(AB332="","",AB332-P332)</f>
        <v/>
      </c>
      <c r="AI332" s="18">
        <f>IF(COUNTA(W332:AB332)=0,"未入力",IF(COUNTA(W332:AB332)&lt;6,"一部入力",IF(COUNTIF(AC332:AH332,0)=6,"一致","差分あり")))</f>
        <v/>
      </c>
      <c r="AJ3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2" s="19" t="inlineStr"/>
      <c r="AL332" s="18" t="inlineStr">
        <is>
          <t>2026-06-29</t>
        </is>
      </c>
    </row>
    <row r="333" ht="22" customHeight="1">
      <c r="A333" s="17" t="inlineStr">
        <is>
          <t>1004302-LB0</t>
        </is>
      </c>
      <c r="B333" s="18" t="n">
        <v>1004302</v>
      </c>
      <c r="C333" s="17" t="inlineStr">
        <is>
          <t>MKiryu02</t>
        </is>
      </c>
      <c r="D333" s="17" t="inlineStr">
        <is>
          <t>MKiryu</t>
        </is>
      </c>
      <c r="E333" s="17" t="inlineStr">
        <is>
          <t>桐生 美也</t>
        </is>
      </c>
      <c r="F333" s="19" t="inlineStr">
        <is>
          <t>神祠見舞う儚さかな</t>
        </is>
      </c>
      <c r="G333" s="18" t="inlineStr">
        <is>
          <t>S</t>
        </is>
      </c>
      <c r="H333" s="17" t="inlineStr">
        <is>
          <t>Debuffer</t>
        </is>
      </c>
      <c r="I333" s="18" t="n">
        <v>0</v>
      </c>
      <c r="J333" s="18" t="n">
        <v>10</v>
      </c>
      <c r="K333" s="18" t="n">
        <v>350</v>
      </c>
      <c r="L333" s="18" t="n">
        <v>311</v>
      </c>
      <c r="M333" s="18" t="n">
        <v>309</v>
      </c>
      <c r="N333" s="18" t="n">
        <v>318</v>
      </c>
      <c r="O333" s="18" t="n">
        <v>318</v>
      </c>
      <c r="P333" s="18" t="n">
        <v>344</v>
      </c>
      <c r="Q333" s="18" t="n">
        <v>35</v>
      </c>
      <c r="R333" s="18" t="n">
        <v>32</v>
      </c>
      <c r="S333" s="18" t="n">
        <v>31</v>
      </c>
      <c r="T333" s="18" t="n">
        <v>32</v>
      </c>
      <c r="U333" s="18" t="n">
        <v>32</v>
      </c>
      <c r="V333" s="18" t="n">
        <v>35</v>
      </c>
      <c r="W333" s="20" t="n"/>
      <c r="X333" s="20" t="n"/>
      <c r="Y333" s="20" t="n"/>
      <c r="Z333" s="20" t="n"/>
      <c r="AA333" s="20" t="n"/>
      <c r="AB333" s="20" t="n"/>
      <c r="AC333" s="21">
        <f>IF(W333="","",W333-K333)</f>
        <v/>
      </c>
      <c r="AD333" s="21">
        <f>IF(X333="","",X333-L333)</f>
        <v/>
      </c>
      <c r="AE333" s="21">
        <f>IF(Y333="","",Y333-M333)</f>
        <v/>
      </c>
      <c r="AF333" s="21">
        <f>IF(Z333="","",Z333-N333)</f>
        <v/>
      </c>
      <c r="AG333" s="21">
        <f>IF(AA333="","",AA333-O333)</f>
        <v/>
      </c>
      <c r="AH333" s="21">
        <f>IF(AB333="","",AB333-P333)</f>
        <v/>
      </c>
      <c r="AI333" s="18">
        <f>IF(COUNTA(W333:AB333)=0,"未入力",IF(COUNTA(W333:AB333)&lt;6,"一部入力",IF(COUNTIF(AC333:AH333,0)=6,"一致","差分あり")))</f>
        <v/>
      </c>
      <c r="AJ3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3" s="19" t="inlineStr"/>
      <c r="AL333" s="18" t="inlineStr">
        <is>
          <t>2026-06-29</t>
        </is>
      </c>
    </row>
    <row r="334" ht="22" customHeight="1">
      <c r="A334" s="17" t="inlineStr">
        <is>
          <t>1004302-LB10</t>
        </is>
      </c>
      <c r="B334" s="18" t="n">
        <v>1004302</v>
      </c>
      <c r="C334" s="17" t="inlineStr">
        <is>
          <t>MKiryu02</t>
        </is>
      </c>
      <c r="D334" s="17" t="inlineStr">
        <is>
          <t>MKiryu</t>
        </is>
      </c>
      <c r="E334" s="17" t="inlineStr">
        <is>
          <t>桐生 美也</t>
        </is>
      </c>
      <c r="F334" s="19" t="inlineStr">
        <is>
          <t>神祠見舞う儚さかな</t>
        </is>
      </c>
      <c r="G334" s="18" t="inlineStr">
        <is>
          <t>S</t>
        </is>
      </c>
      <c r="H334" s="17" t="inlineStr">
        <is>
          <t>Debuffer</t>
        </is>
      </c>
      <c r="I334" s="18" t="n">
        <v>10</v>
      </c>
      <c r="J334" s="18" t="n">
        <v>10</v>
      </c>
      <c r="K334" s="18" t="n">
        <v>419</v>
      </c>
      <c r="L334" s="18" t="n">
        <v>378</v>
      </c>
      <c r="M334" s="18" t="n">
        <v>375</v>
      </c>
      <c r="N334" s="18" t="n">
        <v>384</v>
      </c>
      <c r="O334" s="18" t="n">
        <v>384</v>
      </c>
      <c r="P334" s="18" t="n">
        <v>408</v>
      </c>
      <c r="Q334" s="18" t="n">
        <v>42</v>
      </c>
      <c r="R334" s="18" t="n">
        <v>38</v>
      </c>
      <c r="S334" s="18" t="n">
        <v>38</v>
      </c>
      <c r="T334" s="18" t="n">
        <v>39</v>
      </c>
      <c r="U334" s="18" t="n">
        <v>39</v>
      </c>
      <c r="V334" s="18" t="n">
        <v>41</v>
      </c>
      <c r="W334" s="20" t="n"/>
      <c r="X334" s="20" t="n"/>
      <c r="Y334" s="20" t="n"/>
      <c r="Z334" s="20" t="n"/>
      <c r="AA334" s="20" t="n"/>
      <c r="AB334" s="20" t="n"/>
      <c r="AC334" s="21">
        <f>IF(W334="","",W334-K334)</f>
        <v/>
      </c>
      <c r="AD334" s="21">
        <f>IF(X334="","",X334-L334)</f>
        <v/>
      </c>
      <c r="AE334" s="21">
        <f>IF(Y334="","",Y334-M334)</f>
        <v/>
      </c>
      <c r="AF334" s="21">
        <f>IF(Z334="","",Z334-N334)</f>
        <v/>
      </c>
      <c r="AG334" s="21">
        <f>IF(AA334="","",AA334-O334)</f>
        <v/>
      </c>
      <c r="AH334" s="21">
        <f>IF(AB334="","",AB334-P334)</f>
        <v/>
      </c>
      <c r="AI334" s="18">
        <f>IF(COUNTA(W334:AB334)=0,"未入力",IF(COUNTA(W334:AB334)&lt;6,"一部入力",IF(COUNTIF(AC334:AH334,0)=6,"一致","差分あり")))</f>
        <v/>
      </c>
      <c r="AJ3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4" s="19" t="inlineStr"/>
      <c r="AL334" s="18" t="inlineStr">
        <is>
          <t>2026-06-29</t>
        </is>
      </c>
    </row>
    <row r="335" ht="22" customHeight="1">
      <c r="A335" s="17" t="inlineStr">
        <is>
          <t>1004303-LB0</t>
        </is>
      </c>
      <c r="B335" s="18" t="n">
        <v>1004303</v>
      </c>
      <c r="C335" s="17" t="inlineStr">
        <is>
          <t>MKiryu03</t>
        </is>
      </c>
      <c r="D335" s="17" t="inlineStr">
        <is>
          <t>MKiryu</t>
        </is>
      </c>
      <c r="E335" s="17" t="inlineStr">
        <is>
          <t>桐生 美也</t>
        </is>
      </c>
      <c r="F335" s="19" t="inlineStr">
        <is>
          <t>星林遣らずの雨</t>
        </is>
      </c>
      <c r="G335" s="18" t="inlineStr">
        <is>
          <t>SS</t>
        </is>
      </c>
      <c r="H335" s="17" t="inlineStr">
        <is>
          <t>Debuffer</t>
        </is>
      </c>
      <c r="I335" s="18" t="n">
        <v>0</v>
      </c>
      <c r="J335" s="18" t="n">
        <v>4</v>
      </c>
      <c r="K335" s="18" t="n">
        <v>345</v>
      </c>
      <c r="L335" s="18" t="n">
        <v>419</v>
      </c>
      <c r="M335" s="18" t="n">
        <v>380</v>
      </c>
      <c r="N335" s="18" t="n">
        <v>365</v>
      </c>
      <c r="O335" s="18" t="n">
        <v>391</v>
      </c>
      <c r="P335" s="18" t="n">
        <v>371</v>
      </c>
      <c r="Q335" s="18" t="n">
        <v>35</v>
      </c>
      <c r="R335" s="18" t="n">
        <v>42</v>
      </c>
      <c r="S335" s="18" t="n">
        <v>38</v>
      </c>
      <c r="T335" s="18" t="n">
        <v>37</v>
      </c>
      <c r="U335" s="18" t="n">
        <v>40</v>
      </c>
      <c r="V335" s="18" t="n">
        <v>38</v>
      </c>
      <c r="W335" s="20" t="n"/>
      <c r="X335" s="20" t="n"/>
      <c r="Y335" s="20" t="n"/>
      <c r="Z335" s="20" t="n"/>
      <c r="AA335" s="20" t="n"/>
      <c r="AB335" s="20" t="n"/>
      <c r="AC335" s="21">
        <f>IF(W335="","",W335-K335)</f>
        <v/>
      </c>
      <c r="AD335" s="21">
        <f>IF(X335="","",X335-L335)</f>
        <v/>
      </c>
      <c r="AE335" s="21">
        <f>IF(Y335="","",Y335-M335)</f>
        <v/>
      </c>
      <c r="AF335" s="21">
        <f>IF(Z335="","",Z335-N335)</f>
        <v/>
      </c>
      <c r="AG335" s="21">
        <f>IF(AA335="","",AA335-O335)</f>
        <v/>
      </c>
      <c r="AH335" s="21">
        <f>IF(AB335="","",AB335-P335)</f>
        <v/>
      </c>
      <c r="AI335" s="18">
        <f>IF(COUNTA(W335:AB335)=0,"未入力",IF(COUNTA(W335:AB335)&lt;6,"一部入力",IF(COUNTIF(AC335:AH335,0)=6,"一致","差分あり")))</f>
        <v/>
      </c>
      <c r="AJ3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5" s="19" t="inlineStr"/>
      <c r="AL335" s="18" t="inlineStr">
        <is>
          <t>2026-06-29</t>
        </is>
      </c>
    </row>
    <row r="336" ht="22" customHeight="1">
      <c r="A336" s="17" t="inlineStr">
        <is>
          <t>1004303-LB4</t>
        </is>
      </c>
      <c r="B336" s="18" t="n">
        <v>1004303</v>
      </c>
      <c r="C336" s="17" t="inlineStr">
        <is>
          <t>MKiryu03</t>
        </is>
      </c>
      <c r="D336" s="17" t="inlineStr">
        <is>
          <t>MKiryu</t>
        </is>
      </c>
      <c r="E336" s="17" t="inlineStr">
        <is>
          <t>桐生 美也</t>
        </is>
      </c>
      <c r="F336" s="19" t="inlineStr">
        <is>
          <t>星林遣らずの雨</t>
        </is>
      </c>
      <c r="G336" s="18" t="inlineStr">
        <is>
          <t>SS</t>
        </is>
      </c>
      <c r="H336" s="17" t="inlineStr">
        <is>
          <t>Debuffer</t>
        </is>
      </c>
      <c r="I336" s="18" t="n">
        <v>4</v>
      </c>
      <c r="J336" s="18" t="n">
        <v>4</v>
      </c>
      <c r="K336" s="18" t="n">
        <v>433</v>
      </c>
      <c r="L336" s="18" t="n">
        <v>508</v>
      </c>
      <c r="M336" s="18" t="n">
        <v>468</v>
      </c>
      <c r="N336" s="18" t="n">
        <v>453</v>
      </c>
      <c r="O336" s="18" t="n">
        <v>479</v>
      </c>
      <c r="P336" s="18" t="n">
        <v>457</v>
      </c>
      <c r="Q336" s="18" t="n">
        <v>44</v>
      </c>
      <c r="R336" s="18" t="n">
        <v>51</v>
      </c>
      <c r="S336" s="18" t="n">
        <v>47</v>
      </c>
      <c r="T336" s="18" t="n">
        <v>46</v>
      </c>
      <c r="U336" s="18" t="n">
        <v>48</v>
      </c>
      <c r="V336" s="18" t="n">
        <v>46</v>
      </c>
      <c r="W336" s="20" t="n"/>
      <c r="X336" s="20" t="n"/>
      <c r="Y336" s="20" t="n"/>
      <c r="Z336" s="20" t="n"/>
      <c r="AA336" s="20" t="n"/>
      <c r="AB336" s="20" t="n"/>
      <c r="AC336" s="21">
        <f>IF(W336="","",W336-K336)</f>
        <v/>
      </c>
      <c r="AD336" s="21">
        <f>IF(X336="","",X336-L336)</f>
        <v/>
      </c>
      <c r="AE336" s="21">
        <f>IF(Y336="","",Y336-M336)</f>
        <v/>
      </c>
      <c r="AF336" s="21">
        <f>IF(Z336="","",Z336-N336)</f>
        <v/>
      </c>
      <c r="AG336" s="21">
        <f>IF(AA336="","",AA336-O336)</f>
        <v/>
      </c>
      <c r="AH336" s="21">
        <f>IF(AB336="","",AB336-P336)</f>
        <v/>
      </c>
      <c r="AI336" s="18">
        <f>IF(COUNTA(W336:AB336)=0,"未入力",IF(COUNTA(W336:AB336)&lt;6,"一部入力",IF(COUNTIF(AC336:AH336,0)=6,"一致","差分あり")))</f>
        <v/>
      </c>
      <c r="AJ3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6" s="19" t="inlineStr"/>
      <c r="AL336" s="18" t="inlineStr">
        <is>
          <t>2026-06-29</t>
        </is>
      </c>
    </row>
    <row r="337" ht="22" customHeight="1">
      <c r="A337" s="17" t="inlineStr">
        <is>
          <t>1004304-LB0</t>
        </is>
      </c>
      <c r="B337" s="18" t="n">
        <v>1004304</v>
      </c>
      <c r="C337" s="17" t="inlineStr">
        <is>
          <t>MKiryu04</t>
        </is>
      </c>
      <c r="D337" s="17" t="inlineStr">
        <is>
          <t>MKiryu</t>
        </is>
      </c>
      <c r="E337" s="17" t="inlineStr">
        <is>
          <t>桐生 美也</t>
        </is>
      </c>
      <c r="F337" s="19" t="inlineStr">
        <is>
          <t>豊楽ノ神秘</t>
        </is>
      </c>
      <c r="G337" s="18" t="inlineStr">
        <is>
          <t>SS</t>
        </is>
      </c>
      <c r="H337" s="17" t="inlineStr">
        <is>
          <t>Debuffer</t>
        </is>
      </c>
      <c r="I337" s="18" t="n">
        <v>0</v>
      </c>
      <c r="J337" s="18" t="n">
        <v>4</v>
      </c>
      <c r="K337" s="18" t="n">
        <v>367</v>
      </c>
      <c r="L337" s="18" t="n">
        <v>441</v>
      </c>
      <c r="M337" s="18" t="n">
        <v>402</v>
      </c>
      <c r="N337" s="18" t="n">
        <v>387</v>
      </c>
      <c r="O337" s="18" t="n">
        <v>413</v>
      </c>
      <c r="P337" s="18" t="n">
        <v>392</v>
      </c>
      <c r="Q337" s="18" t="n">
        <v>37</v>
      </c>
      <c r="R337" s="18" t="n">
        <v>45</v>
      </c>
      <c r="S337" s="18" t="n">
        <v>41</v>
      </c>
      <c r="T337" s="18" t="n">
        <v>39</v>
      </c>
      <c r="U337" s="18" t="n">
        <v>42</v>
      </c>
      <c r="V337" s="18" t="n">
        <v>40</v>
      </c>
      <c r="W337" s="20" t="n"/>
      <c r="X337" s="20" t="n"/>
      <c r="Y337" s="20" t="n"/>
      <c r="Z337" s="20" t="n"/>
      <c r="AA337" s="20" t="n"/>
      <c r="AB337" s="20" t="n"/>
      <c r="AC337" s="21">
        <f>IF(W337="","",W337-K337)</f>
        <v/>
      </c>
      <c r="AD337" s="21">
        <f>IF(X337="","",X337-L337)</f>
        <v/>
      </c>
      <c r="AE337" s="21">
        <f>IF(Y337="","",Y337-M337)</f>
        <v/>
      </c>
      <c r="AF337" s="21">
        <f>IF(Z337="","",Z337-N337)</f>
        <v/>
      </c>
      <c r="AG337" s="21">
        <f>IF(AA337="","",AA337-O337)</f>
        <v/>
      </c>
      <c r="AH337" s="21">
        <f>IF(AB337="","",AB337-P337)</f>
        <v/>
      </c>
      <c r="AI337" s="18">
        <f>IF(COUNTA(W337:AB337)=0,"未入力",IF(COUNTA(W337:AB337)&lt;6,"一部入力",IF(COUNTIF(AC337:AH337,0)=6,"一致","差分あり")))</f>
        <v/>
      </c>
      <c r="AJ3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7" s="19" t="inlineStr"/>
      <c r="AL337" s="18" t="inlineStr">
        <is>
          <t>2026-06-29</t>
        </is>
      </c>
    </row>
    <row r="338" ht="22" customHeight="1">
      <c r="A338" s="17" t="inlineStr">
        <is>
          <t>1004304-LB4</t>
        </is>
      </c>
      <c r="B338" s="18" t="n">
        <v>1004304</v>
      </c>
      <c r="C338" s="17" t="inlineStr">
        <is>
          <t>MKiryu04</t>
        </is>
      </c>
      <c r="D338" s="17" t="inlineStr">
        <is>
          <t>MKiryu</t>
        </is>
      </c>
      <c r="E338" s="17" t="inlineStr">
        <is>
          <t>桐生 美也</t>
        </is>
      </c>
      <c r="F338" s="19" t="inlineStr">
        <is>
          <t>豊楽ノ神秘</t>
        </is>
      </c>
      <c r="G338" s="18" t="inlineStr">
        <is>
          <t>SS</t>
        </is>
      </c>
      <c r="H338" s="17" t="inlineStr">
        <is>
          <t>Debuffer</t>
        </is>
      </c>
      <c r="I338" s="18" t="n">
        <v>4</v>
      </c>
      <c r="J338" s="18" t="n">
        <v>4</v>
      </c>
      <c r="K338" s="18" t="n">
        <v>455</v>
      </c>
      <c r="L338" s="18" t="n">
        <v>530</v>
      </c>
      <c r="M338" s="18" t="n">
        <v>491</v>
      </c>
      <c r="N338" s="18" t="n">
        <v>475</v>
      </c>
      <c r="O338" s="18" t="n">
        <v>501</v>
      </c>
      <c r="P338" s="18" t="n">
        <v>478</v>
      </c>
      <c r="Q338" s="18" t="n">
        <v>46</v>
      </c>
      <c r="R338" s="18" t="n">
        <v>53</v>
      </c>
      <c r="S338" s="18" t="n">
        <v>50</v>
      </c>
      <c r="T338" s="18" t="n">
        <v>48</v>
      </c>
      <c r="U338" s="18" t="n">
        <v>51</v>
      </c>
      <c r="V338" s="18" t="n">
        <v>48</v>
      </c>
      <c r="W338" s="20" t="n"/>
      <c r="X338" s="20" t="n"/>
      <c r="Y338" s="20" t="n"/>
      <c r="Z338" s="20" t="n"/>
      <c r="AA338" s="20" t="n"/>
      <c r="AB338" s="20" t="n"/>
      <c r="AC338" s="21">
        <f>IF(W338="","",W338-K338)</f>
        <v/>
      </c>
      <c r="AD338" s="21">
        <f>IF(X338="","",X338-L338)</f>
        <v/>
      </c>
      <c r="AE338" s="21">
        <f>IF(Y338="","",Y338-M338)</f>
        <v/>
      </c>
      <c r="AF338" s="21">
        <f>IF(Z338="","",Z338-N338)</f>
        <v/>
      </c>
      <c r="AG338" s="21">
        <f>IF(AA338="","",AA338-O338)</f>
        <v/>
      </c>
      <c r="AH338" s="21">
        <f>IF(AB338="","",AB338-P338)</f>
        <v/>
      </c>
      <c r="AI338" s="18">
        <f>IF(COUNTA(W338:AB338)=0,"未入力",IF(COUNTA(W338:AB338)&lt;6,"一部入力",IF(COUNTIF(AC338:AH338,0)=6,"一致","差分あり")))</f>
        <v/>
      </c>
      <c r="AJ3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8" s="19" t="inlineStr"/>
      <c r="AL338" s="18" t="inlineStr">
        <is>
          <t>2026-06-29</t>
        </is>
      </c>
    </row>
    <row r="339" ht="22" customHeight="1">
      <c r="A339" s="17" t="inlineStr">
        <is>
          <t>1004305-LB0</t>
        </is>
      </c>
      <c r="B339" s="18" t="n">
        <v>1004305</v>
      </c>
      <c r="C339" s="17" t="inlineStr">
        <is>
          <t>MKiryu05</t>
        </is>
      </c>
      <c r="D339" s="17" t="inlineStr">
        <is>
          <t>MKiryu</t>
        </is>
      </c>
      <c r="E339" s="17" t="inlineStr">
        <is>
          <t>桐生 美也</t>
        </is>
      </c>
      <c r="F339" s="19" t="inlineStr">
        <is>
          <t>たまゆら、一夜の夢火</t>
        </is>
      </c>
      <c r="G339" s="18" t="inlineStr">
        <is>
          <t>SS</t>
        </is>
      </c>
      <c r="H339" s="17" t="inlineStr">
        <is>
          <t>Debuffer</t>
        </is>
      </c>
      <c r="I339" s="18" t="n">
        <v>0</v>
      </c>
      <c r="J339" s="18" t="n">
        <v>4</v>
      </c>
      <c r="K339" s="18" t="n">
        <v>402</v>
      </c>
      <c r="L339" s="18" t="n">
        <v>405</v>
      </c>
      <c r="M339" s="18" t="n">
        <v>437</v>
      </c>
      <c r="N339" s="18" t="n">
        <v>413</v>
      </c>
      <c r="O339" s="18" t="n">
        <v>387</v>
      </c>
      <c r="P339" s="18" t="n">
        <v>358</v>
      </c>
      <c r="Q339" s="18" t="n">
        <v>41</v>
      </c>
      <c r="R339" s="18" t="n">
        <v>41</v>
      </c>
      <c r="S339" s="18" t="n">
        <v>44</v>
      </c>
      <c r="T339" s="18" t="n">
        <v>42</v>
      </c>
      <c r="U339" s="18" t="n">
        <v>39</v>
      </c>
      <c r="V339" s="18" t="n">
        <v>36</v>
      </c>
      <c r="W339" s="20" t="n"/>
      <c r="X339" s="20" t="n"/>
      <c r="Y339" s="20" t="n"/>
      <c r="Z339" s="20" t="n"/>
      <c r="AA339" s="20" t="n"/>
      <c r="AB339" s="20" t="n"/>
      <c r="AC339" s="21">
        <f>IF(W339="","",W339-K339)</f>
        <v/>
      </c>
      <c r="AD339" s="21">
        <f>IF(X339="","",X339-L339)</f>
        <v/>
      </c>
      <c r="AE339" s="21">
        <f>IF(Y339="","",Y339-M339)</f>
        <v/>
      </c>
      <c r="AF339" s="21">
        <f>IF(Z339="","",Z339-N339)</f>
        <v/>
      </c>
      <c r="AG339" s="21">
        <f>IF(AA339="","",AA339-O339)</f>
        <v/>
      </c>
      <c r="AH339" s="21">
        <f>IF(AB339="","",AB339-P339)</f>
        <v/>
      </c>
      <c r="AI339" s="18">
        <f>IF(COUNTA(W339:AB339)=0,"未入力",IF(COUNTA(W339:AB339)&lt;6,"一部入力",IF(COUNTIF(AC339:AH339,0)=6,"一致","差分あり")))</f>
        <v/>
      </c>
      <c r="AJ3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39" s="19" t="inlineStr"/>
      <c r="AL339" s="18" t="inlineStr">
        <is>
          <t>2026-06-29</t>
        </is>
      </c>
    </row>
    <row r="340" ht="22" customHeight="1">
      <c r="A340" s="17" t="inlineStr">
        <is>
          <t>1004305-LB4</t>
        </is>
      </c>
      <c r="B340" s="18" t="n">
        <v>1004305</v>
      </c>
      <c r="C340" s="17" t="inlineStr">
        <is>
          <t>MKiryu05</t>
        </is>
      </c>
      <c r="D340" s="17" t="inlineStr">
        <is>
          <t>MKiryu</t>
        </is>
      </c>
      <c r="E340" s="17" t="inlineStr">
        <is>
          <t>桐生 美也</t>
        </is>
      </c>
      <c r="F340" s="19" t="inlineStr">
        <is>
          <t>たまゆら、一夜の夢火</t>
        </is>
      </c>
      <c r="G340" s="18" t="inlineStr">
        <is>
          <t>SS</t>
        </is>
      </c>
      <c r="H340" s="17" t="inlineStr">
        <is>
          <t>Debuffer</t>
        </is>
      </c>
      <c r="I340" s="18" t="n">
        <v>4</v>
      </c>
      <c r="J340" s="18" t="n">
        <v>4</v>
      </c>
      <c r="K340" s="18" t="n">
        <v>491</v>
      </c>
      <c r="L340" s="18" t="n">
        <v>495</v>
      </c>
      <c r="M340" s="18" t="n">
        <v>526</v>
      </c>
      <c r="N340" s="18" t="n">
        <v>501</v>
      </c>
      <c r="O340" s="18" t="n">
        <v>475</v>
      </c>
      <c r="P340" s="18" t="n">
        <v>444</v>
      </c>
      <c r="Q340" s="18" t="n">
        <v>50</v>
      </c>
      <c r="R340" s="18" t="n">
        <v>50</v>
      </c>
      <c r="S340" s="18" t="n">
        <v>53</v>
      </c>
      <c r="T340" s="18" t="n">
        <v>51</v>
      </c>
      <c r="U340" s="18" t="n">
        <v>48</v>
      </c>
      <c r="V340" s="18" t="n">
        <v>45</v>
      </c>
      <c r="W340" s="20" t="n"/>
      <c r="X340" s="20" t="n"/>
      <c r="Y340" s="20" t="n"/>
      <c r="Z340" s="20" t="n"/>
      <c r="AA340" s="20" t="n"/>
      <c r="AB340" s="20" t="n"/>
      <c r="AC340" s="21">
        <f>IF(W340="","",W340-K340)</f>
        <v/>
      </c>
      <c r="AD340" s="21">
        <f>IF(X340="","",X340-L340)</f>
        <v/>
      </c>
      <c r="AE340" s="21">
        <f>IF(Y340="","",Y340-M340)</f>
        <v/>
      </c>
      <c r="AF340" s="21">
        <f>IF(Z340="","",Z340-N340)</f>
        <v/>
      </c>
      <c r="AG340" s="21">
        <f>IF(AA340="","",AA340-O340)</f>
        <v/>
      </c>
      <c r="AH340" s="21">
        <f>IF(AB340="","",AB340-P340)</f>
        <v/>
      </c>
      <c r="AI340" s="18">
        <f>IF(COUNTA(W340:AB340)=0,"未入力",IF(COUNTA(W340:AB340)&lt;6,"一部入力",IF(COUNTIF(AC340:AH340,0)=6,"一致","差分あり")))</f>
        <v/>
      </c>
      <c r="AJ3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0" s="19" t="inlineStr"/>
      <c r="AL340" s="18" t="inlineStr">
        <is>
          <t>2026-06-29</t>
        </is>
      </c>
    </row>
    <row r="341" ht="22" customHeight="1">
      <c r="A341" s="17" t="inlineStr">
        <is>
          <t>1004306-LB0</t>
        </is>
      </c>
      <c r="B341" s="18" t="n">
        <v>1004306</v>
      </c>
      <c r="C341" s="17" t="inlineStr">
        <is>
          <t>MKiryu06</t>
        </is>
      </c>
      <c r="D341" s="17" t="inlineStr">
        <is>
          <t>MKiryu</t>
        </is>
      </c>
      <c r="E341" s="17" t="inlineStr">
        <is>
          <t>桐生 美也</t>
        </is>
      </c>
      <c r="F341" s="19" t="inlineStr">
        <is>
          <t>光のどけき春の日に</t>
        </is>
      </c>
      <c r="G341" s="18" t="inlineStr">
        <is>
          <t>S</t>
        </is>
      </c>
      <c r="H341" s="17" t="inlineStr">
        <is>
          <t>Debuffer</t>
        </is>
      </c>
      <c r="I341" s="18" t="n">
        <v>0</v>
      </c>
      <c r="J341" s="18" t="n">
        <v>10</v>
      </c>
      <c r="K341" s="18" t="n">
        <v>309</v>
      </c>
      <c r="L341" s="18" t="n">
        <v>356</v>
      </c>
      <c r="M341" s="18" t="n">
        <v>320</v>
      </c>
      <c r="N341" s="18" t="n">
        <v>307</v>
      </c>
      <c r="O341" s="18" t="n">
        <v>351</v>
      </c>
      <c r="P341" s="18" t="n">
        <v>312</v>
      </c>
      <c r="Q341" s="18" t="n">
        <v>31</v>
      </c>
      <c r="R341" s="18" t="n">
        <v>36</v>
      </c>
      <c r="S341" s="18" t="n">
        <v>32</v>
      </c>
      <c r="T341" s="18" t="n">
        <v>31</v>
      </c>
      <c r="U341" s="18" t="n">
        <v>36</v>
      </c>
      <c r="V341" s="18" t="n">
        <v>32</v>
      </c>
      <c r="W341" s="20" t="n"/>
      <c r="X341" s="20" t="n"/>
      <c r="Y341" s="20" t="n"/>
      <c r="Z341" s="20" t="n"/>
      <c r="AA341" s="20" t="n"/>
      <c r="AB341" s="20" t="n"/>
      <c r="AC341" s="21">
        <f>IF(W341="","",W341-K341)</f>
        <v/>
      </c>
      <c r="AD341" s="21">
        <f>IF(X341="","",X341-L341)</f>
        <v/>
      </c>
      <c r="AE341" s="21">
        <f>IF(Y341="","",Y341-M341)</f>
        <v/>
      </c>
      <c r="AF341" s="21">
        <f>IF(Z341="","",Z341-N341)</f>
        <v/>
      </c>
      <c r="AG341" s="21">
        <f>IF(AA341="","",AA341-O341)</f>
        <v/>
      </c>
      <c r="AH341" s="21">
        <f>IF(AB341="","",AB341-P341)</f>
        <v/>
      </c>
      <c r="AI341" s="18">
        <f>IF(COUNTA(W341:AB341)=0,"未入力",IF(COUNTA(W341:AB341)&lt;6,"一部入力",IF(COUNTIF(AC341:AH341,0)=6,"一致","差分あり")))</f>
        <v/>
      </c>
      <c r="AJ3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1" s="19" t="inlineStr"/>
      <c r="AL341" s="18" t="inlineStr">
        <is>
          <t>2026-06-29</t>
        </is>
      </c>
    </row>
    <row r="342" ht="22" customHeight="1">
      <c r="A342" s="17" t="inlineStr">
        <is>
          <t>1004306-LB10</t>
        </is>
      </c>
      <c r="B342" s="18" t="n">
        <v>1004306</v>
      </c>
      <c r="C342" s="17" t="inlineStr">
        <is>
          <t>MKiryu06</t>
        </is>
      </c>
      <c r="D342" s="17" t="inlineStr">
        <is>
          <t>MKiryu</t>
        </is>
      </c>
      <c r="E342" s="17" t="inlineStr">
        <is>
          <t>桐生 美也</t>
        </is>
      </c>
      <c r="F342" s="19" t="inlineStr">
        <is>
          <t>光のどけき春の日に</t>
        </is>
      </c>
      <c r="G342" s="18" t="inlineStr">
        <is>
          <t>S</t>
        </is>
      </c>
      <c r="H342" s="17" t="inlineStr">
        <is>
          <t>Debuffer</t>
        </is>
      </c>
      <c r="I342" s="18" t="n">
        <v>10</v>
      </c>
      <c r="J342" s="18" t="n">
        <v>10</v>
      </c>
      <c r="K342" s="18" t="n">
        <v>375</v>
      </c>
      <c r="L342" s="18" t="n">
        <v>423</v>
      </c>
      <c r="M342" s="18" t="n">
        <v>386</v>
      </c>
      <c r="N342" s="18" t="n">
        <v>373</v>
      </c>
      <c r="O342" s="18" t="n">
        <v>417</v>
      </c>
      <c r="P342" s="18" t="n">
        <v>376</v>
      </c>
      <c r="Q342" s="18" t="n">
        <v>38</v>
      </c>
      <c r="R342" s="18" t="n">
        <v>43</v>
      </c>
      <c r="S342" s="18" t="n">
        <v>39</v>
      </c>
      <c r="T342" s="18" t="n">
        <v>38</v>
      </c>
      <c r="U342" s="18" t="n">
        <v>42</v>
      </c>
      <c r="V342" s="18" t="n">
        <v>38</v>
      </c>
      <c r="W342" s="20" t="n"/>
      <c r="X342" s="20" t="n"/>
      <c r="Y342" s="20" t="n"/>
      <c r="Z342" s="20" t="n"/>
      <c r="AA342" s="20" t="n"/>
      <c r="AB342" s="20" t="n"/>
      <c r="AC342" s="21">
        <f>IF(W342="","",W342-K342)</f>
        <v/>
      </c>
      <c r="AD342" s="21">
        <f>IF(X342="","",X342-L342)</f>
        <v/>
      </c>
      <c r="AE342" s="21">
        <f>IF(Y342="","",Y342-M342)</f>
        <v/>
      </c>
      <c r="AF342" s="21">
        <f>IF(Z342="","",Z342-N342)</f>
        <v/>
      </c>
      <c r="AG342" s="21">
        <f>IF(AA342="","",AA342-O342)</f>
        <v/>
      </c>
      <c r="AH342" s="21">
        <f>IF(AB342="","",AB342-P342)</f>
        <v/>
      </c>
      <c r="AI342" s="18">
        <f>IF(COUNTA(W342:AB342)=0,"未入力",IF(COUNTA(W342:AB342)&lt;6,"一部入力",IF(COUNTIF(AC342:AH342,0)=6,"一致","差分あり")))</f>
        <v/>
      </c>
      <c r="AJ3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2" s="19" t="inlineStr"/>
      <c r="AL342" s="18" t="inlineStr">
        <is>
          <t>2026-06-29</t>
        </is>
      </c>
    </row>
    <row r="343" ht="22" customHeight="1">
      <c r="A343" s="17" t="inlineStr">
        <is>
          <t>1004307-LB0</t>
        </is>
      </c>
      <c r="B343" s="18" t="n">
        <v>1004307</v>
      </c>
      <c r="C343" s="17" t="inlineStr">
        <is>
          <t>MKiryu07</t>
        </is>
      </c>
      <c r="D343" s="17" t="inlineStr">
        <is>
          <t>MKiryu</t>
        </is>
      </c>
      <c r="E343" s="17" t="inlineStr">
        <is>
          <t>桐生 美也</t>
        </is>
      </c>
      <c r="F343" s="19" t="inlineStr">
        <is>
          <t>汐風に誘われて</t>
        </is>
      </c>
      <c r="G343" s="18" t="inlineStr">
        <is>
          <t>SSR</t>
        </is>
      </c>
      <c r="H343" s="17" t="inlineStr">
        <is>
          <t>Blaster</t>
        </is>
      </c>
      <c r="I343" s="18" t="n">
        <v>0</v>
      </c>
      <c r="J343" s="18" t="n">
        <v>4</v>
      </c>
      <c r="K343" s="18" t="n">
        <v>437</v>
      </c>
      <c r="L343" s="18" t="n">
        <v>370</v>
      </c>
      <c r="M343" s="18" t="n">
        <v>389</v>
      </c>
      <c r="N343" s="18" t="n">
        <v>400</v>
      </c>
      <c r="O343" s="18" t="n">
        <v>400</v>
      </c>
      <c r="P343" s="18" t="n">
        <v>405</v>
      </c>
      <c r="Q343" s="18" t="n">
        <v>44</v>
      </c>
      <c r="R343" s="18" t="n">
        <v>37</v>
      </c>
      <c r="S343" s="18" t="n">
        <v>39</v>
      </c>
      <c r="T343" s="18" t="n">
        <v>40</v>
      </c>
      <c r="U343" s="18" t="n">
        <v>40</v>
      </c>
      <c r="V343" s="18" t="n">
        <v>41</v>
      </c>
      <c r="W343" s="20" t="n"/>
      <c r="X343" s="20" t="n"/>
      <c r="Y343" s="20" t="n"/>
      <c r="Z343" s="20" t="n"/>
      <c r="AA343" s="20" t="n"/>
      <c r="AB343" s="20" t="n"/>
      <c r="AC343" s="21">
        <f>IF(W343="","",W343-K343)</f>
        <v/>
      </c>
      <c r="AD343" s="21">
        <f>IF(X343="","",X343-L343)</f>
        <v/>
      </c>
      <c r="AE343" s="21">
        <f>IF(Y343="","",Y343-M343)</f>
        <v/>
      </c>
      <c r="AF343" s="21">
        <f>IF(Z343="","",Z343-N343)</f>
        <v/>
      </c>
      <c r="AG343" s="21">
        <f>IF(AA343="","",AA343-O343)</f>
        <v/>
      </c>
      <c r="AH343" s="21">
        <f>IF(AB343="","",AB343-P343)</f>
        <v/>
      </c>
      <c r="AI343" s="18">
        <f>IF(COUNTA(W343:AB343)=0,"未入力",IF(COUNTA(W343:AB343)&lt;6,"一部入力",IF(COUNTIF(AC343:AH343,0)=6,"一致","差分あり")))</f>
        <v/>
      </c>
      <c r="AJ3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3" s="19" t="inlineStr"/>
      <c r="AL343" s="18" t="inlineStr">
        <is>
          <t>2026-06-29</t>
        </is>
      </c>
    </row>
    <row r="344" ht="22" customHeight="1">
      <c r="A344" s="17" t="inlineStr">
        <is>
          <t>1004307-LB4</t>
        </is>
      </c>
      <c r="B344" s="18" t="n">
        <v>1004307</v>
      </c>
      <c r="C344" s="17" t="inlineStr">
        <is>
          <t>MKiryu07</t>
        </is>
      </c>
      <c r="D344" s="17" t="inlineStr">
        <is>
          <t>MKiryu</t>
        </is>
      </c>
      <c r="E344" s="17" t="inlineStr">
        <is>
          <t>桐生 美也</t>
        </is>
      </c>
      <c r="F344" s="19" t="inlineStr">
        <is>
          <t>汐風に誘われて</t>
        </is>
      </c>
      <c r="G344" s="18" t="inlineStr">
        <is>
          <t>SSR</t>
        </is>
      </c>
      <c r="H344" s="17" t="inlineStr">
        <is>
          <t>Blaster</t>
        </is>
      </c>
      <c r="I344" s="18" t="n">
        <v>4</v>
      </c>
      <c r="J344" s="18" t="n">
        <v>4</v>
      </c>
      <c r="K344" s="18" t="n">
        <v>526</v>
      </c>
      <c r="L344" s="18" t="n">
        <v>459</v>
      </c>
      <c r="M344" s="18" t="n">
        <v>477</v>
      </c>
      <c r="N344" s="18" t="n">
        <v>488</v>
      </c>
      <c r="O344" s="18" t="n">
        <v>488</v>
      </c>
      <c r="P344" s="18" t="n">
        <v>491</v>
      </c>
      <c r="Q344" s="18" t="n">
        <v>53</v>
      </c>
      <c r="R344" s="18" t="n">
        <v>46</v>
      </c>
      <c r="S344" s="18" t="n">
        <v>48</v>
      </c>
      <c r="T344" s="18" t="n">
        <v>49</v>
      </c>
      <c r="U344" s="18" t="n">
        <v>49</v>
      </c>
      <c r="V344" s="18" t="n">
        <v>50</v>
      </c>
      <c r="W344" s="20" t="n"/>
      <c r="X344" s="20" t="n"/>
      <c r="Y344" s="20" t="n"/>
      <c r="Z344" s="20" t="n"/>
      <c r="AA344" s="20" t="n"/>
      <c r="AB344" s="20" t="n"/>
      <c r="AC344" s="21">
        <f>IF(W344="","",W344-K344)</f>
        <v/>
      </c>
      <c r="AD344" s="21">
        <f>IF(X344="","",X344-L344)</f>
        <v/>
      </c>
      <c r="AE344" s="21">
        <f>IF(Y344="","",Y344-M344)</f>
        <v/>
      </c>
      <c r="AF344" s="21">
        <f>IF(Z344="","",Z344-N344)</f>
        <v/>
      </c>
      <c r="AG344" s="21">
        <f>IF(AA344="","",AA344-O344)</f>
        <v/>
      </c>
      <c r="AH344" s="21">
        <f>IF(AB344="","",AB344-P344)</f>
        <v/>
      </c>
      <c r="AI344" s="18">
        <f>IF(COUNTA(W344:AB344)=0,"未入力",IF(COUNTA(W344:AB344)&lt;6,"一部入力",IF(COUNTIF(AC344:AH344,0)=6,"一致","差分あり")))</f>
        <v/>
      </c>
      <c r="AJ3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4" s="19" t="inlineStr"/>
      <c r="AL344" s="18" t="inlineStr">
        <is>
          <t>2026-06-29</t>
        </is>
      </c>
    </row>
    <row r="345" ht="22" customHeight="1">
      <c r="A345" s="17" t="inlineStr">
        <is>
          <t>1004401-LB0</t>
        </is>
      </c>
      <c r="B345" s="18" t="n">
        <v>1004401</v>
      </c>
      <c r="C345" s="17" t="inlineStr">
        <is>
          <t>CSugahara01</t>
        </is>
      </c>
      <c r="D345" s="17" t="inlineStr">
        <is>
          <t>CSugahara</t>
        </is>
      </c>
      <c r="E345" s="17" t="inlineStr">
        <is>
          <t>菅原 千恵</t>
        </is>
      </c>
      <c r="F345" s="19" t="inlineStr">
        <is>
          <t>ドロレスの魅惑</t>
        </is>
      </c>
      <c r="G345" s="18" t="inlineStr">
        <is>
          <t>A</t>
        </is>
      </c>
      <c r="H345" s="17" t="inlineStr">
        <is>
          <t>Healer</t>
        </is>
      </c>
      <c r="I345" s="18" t="n">
        <v>0</v>
      </c>
      <c r="J345" s="18" t="n">
        <v>20</v>
      </c>
      <c r="K345" s="18" t="n">
        <v>295</v>
      </c>
      <c r="L345" s="18" t="n">
        <v>245</v>
      </c>
      <c r="M345" s="18" t="n">
        <v>246</v>
      </c>
      <c r="N345" s="18" t="n">
        <v>283</v>
      </c>
      <c r="O345" s="18" t="n">
        <v>274</v>
      </c>
      <c r="P345" s="18" t="n">
        <v>294</v>
      </c>
      <c r="Q345" s="18" t="n">
        <v>30</v>
      </c>
      <c r="R345" s="18" t="n">
        <v>25</v>
      </c>
      <c r="S345" s="18" t="n">
        <v>25</v>
      </c>
      <c r="T345" s="18" t="n">
        <v>29</v>
      </c>
      <c r="U345" s="18" t="n">
        <v>28</v>
      </c>
      <c r="V345" s="18" t="n">
        <v>30</v>
      </c>
      <c r="W345" s="20" t="n"/>
      <c r="X345" s="20" t="n"/>
      <c r="Y345" s="20" t="n"/>
      <c r="Z345" s="20" t="n"/>
      <c r="AA345" s="20" t="n"/>
      <c r="AB345" s="20" t="n"/>
      <c r="AC345" s="21">
        <f>IF(W345="","",W345-K345)</f>
        <v/>
      </c>
      <c r="AD345" s="21">
        <f>IF(X345="","",X345-L345)</f>
        <v/>
      </c>
      <c r="AE345" s="21">
        <f>IF(Y345="","",Y345-M345)</f>
        <v/>
      </c>
      <c r="AF345" s="21">
        <f>IF(Z345="","",Z345-N345)</f>
        <v/>
      </c>
      <c r="AG345" s="21">
        <f>IF(AA345="","",AA345-O345)</f>
        <v/>
      </c>
      <c r="AH345" s="21">
        <f>IF(AB345="","",AB345-P345)</f>
        <v/>
      </c>
      <c r="AI345" s="18">
        <f>IF(COUNTA(W345:AB345)=0,"未入力",IF(COUNTA(W345:AB345)&lt;6,"一部入力",IF(COUNTIF(AC345:AH345,0)=6,"一致","差分あり")))</f>
        <v/>
      </c>
      <c r="AJ3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5" s="19" t="inlineStr"/>
      <c r="AL345" s="18" t="inlineStr">
        <is>
          <t>2026-06-29</t>
        </is>
      </c>
    </row>
    <row r="346" ht="22" customHeight="1">
      <c r="A346" s="17" t="inlineStr">
        <is>
          <t>1004401-LB20</t>
        </is>
      </c>
      <c r="B346" s="18" t="n">
        <v>1004401</v>
      </c>
      <c r="C346" s="17" t="inlineStr">
        <is>
          <t>CSugahara01</t>
        </is>
      </c>
      <c r="D346" s="17" t="inlineStr">
        <is>
          <t>CSugahara</t>
        </is>
      </c>
      <c r="E346" s="17" t="inlineStr">
        <is>
          <t>菅原 千恵</t>
        </is>
      </c>
      <c r="F346" s="19" t="inlineStr">
        <is>
          <t>ドロレスの魅惑</t>
        </is>
      </c>
      <c r="G346" s="18" t="inlineStr">
        <is>
          <t>A</t>
        </is>
      </c>
      <c r="H346" s="17" t="inlineStr">
        <is>
          <t>Healer</t>
        </is>
      </c>
      <c r="I346" s="18" t="n">
        <v>20</v>
      </c>
      <c r="J346" s="18" t="n">
        <v>20</v>
      </c>
      <c r="K346" s="18" t="n">
        <v>341</v>
      </c>
      <c r="L346" s="18" t="n">
        <v>289</v>
      </c>
      <c r="M346" s="18" t="n">
        <v>290</v>
      </c>
      <c r="N346" s="18" t="n">
        <v>327</v>
      </c>
      <c r="O346" s="18" t="n">
        <v>317</v>
      </c>
      <c r="P346" s="18" t="n">
        <v>338</v>
      </c>
      <c r="Q346" s="18" t="n">
        <v>35</v>
      </c>
      <c r="R346" s="18" t="n">
        <v>29</v>
      </c>
      <c r="S346" s="18" t="n">
        <v>29</v>
      </c>
      <c r="T346" s="18" t="n">
        <v>33</v>
      </c>
      <c r="U346" s="18" t="n">
        <v>32</v>
      </c>
      <c r="V346" s="18" t="n">
        <v>34</v>
      </c>
      <c r="W346" s="20" t="n"/>
      <c r="X346" s="20" t="n"/>
      <c r="Y346" s="20" t="n"/>
      <c r="Z346" s="20" t="n"/>
      <c r="AA346" s="20" t="n"/>
      <c r="AB346" s="20" t="n"/>
      <c r="AC346" s="21">
        <f>IF(W346="","",W346-K346)</f>
        <v/>
      </c>
      <c r="AD346" s="21">
        <f>IF(X346="","",X346-L346)</f>
        <v/>
      </c>
      <c r="AE346" s="21">
        <f>IF(Y346="","",Y346-M346)</f>
        <v/>
      </c>
      <c r="AF346" s="21">
        <f>IF(Z346="","",Z346-N346)</f>
        <v/>
      </c>
      <c r="AG346" s="21">
        <f>IF(AA346="","",AA346-O346)</f>
        <v/>
      </c>
      <c r="AH346" s="21">
        <f>IF(AB346="","",AB346-P346)</f>
        <v/>
      </c>
      <c r="AI346" s="18">
        <f>IF(COUNTA(W346:AB346)=0,"未入力",IF(COUNTA(W346:AB346)&lt;6,"一部入力",IF(COUNTIF(AC346:AH346,0)=6,"一致","差分あり")))</f>
        <v/>
      </c>
      <c r="AJ3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6" s="19" t="inlineStr"/>
      <c r="AL346" s="18" t="inlineStr">
        <is>
          <t>2026-06-29</t>
        </is>
      </c>
    </row>
    <row r="347" ht="22" customHeight="1">
      <c r="A347" s="17" t="inlineStr">
        <is>
          <t>1004402-LB0</t>
        </is>
      </c>
      <c r="B347" s="18" t="n">
        <v>1004402</v>
      </c>
      <c r="C347" s="17" t="inlineStr">
        <is>
          <t>CSugahara02</t>
        </is>
      </c>
      <c r="D347" s="17" t="inlineStr">
        <is>
          <t>CSugahara</t>
        </is>
      </c>
      <c r="E347" s="17" t="inlineStr">
        <is>
          <t>菅原 千恵</t>
        </is>
      </c>
      <c r="F347" s="19" t="inlineStr">
        <is>
          <t>気まぐれのアンニュイ</t>
        </is>
      </c>
      <c r="G347" s="18" t="inlineStr">
        <is>
          <t>S</t>
        </is>
      </c>
      <c r="H347" s="17" t="inlineStr">
        <is>
          <t>Healer</t>
        </is>
      </c>
      <c r="I347" s="18" t="n">
        <v>0</v>
      </c>
      <c r="J347" s="18" t="n">
        <v>10</v>
      </c>
      <c r="K347" s="18" t="n">
        <v>313</v>
      </c>
      <c r="L347" s="18" t="n">
        <v>345</v>
      </c>
      <c r="M347" s="18" t="n">
        <v>317</v>
      </c>
      <c r="N347" s="18" t="n">
        <v>310</v>
      </c>
      <c r="O347" s="18" t="n">
        <v>344</v>
      </c>
      <c r="P347" s="18" t="n">
        <v>321</v>
      </c>
      <c r="Q347" s="18" t="n">
        <v>32</v>
      </c>
      <c r="R347" s="18" t="n">
        <v>35</v>
      </c>
      <c r="S347" s="18" t="n">
        <v>32</v>
      </c>
      <c r="T347" s="18" t="n">
        <v>31</v>
      </c>
      <c r="U347" s="18" t="n">
        <v>35</v>
      </c>
      <c r="V347" s="18" t="n">
        <v>33</v>
      </c>
      <c r="W347" s="20" t="n"/>
      <c r="X347" s="20" t="n"/>
      <c r="Y347" s="20" t="n"/>
      <c r="Z347" s="20" t="n"/>
      <c r="AA347" s="20" t="n"/>
      <c r="AB347" s="20" t="n"/>
      <c r="AC347" s="21">
        <f>IF(W347="","",W347-K347)</f>
        <v/>
      </c>
      <c r="AD347" s="21">
        <f>IF(X347="","",X347-L347)</f>
        <v/>
      </c>
      <c r="AE347" s="21">
        <f>IF(Y347="","",Y347-M347)</f>
        <v/>
      </c>
      <c r="AF347" s="21">
        <f>IF(Z347="","",Z347-N347)</f>
        <v/>
      </c>
      <c r="AG347" s="21">
        <f>IF(AA347="","",AA347-O347)</f>
        <v/>
      </c>
      <c r="AH347" s="21">
        <f>IF(AB347="","",AB347-P347)</f>
        <v/>
      </c>
      <c r="AI347" s="18">
        <f>IF(COUNTA(W347:AB347)=0,"未入力",IF(COUNTA(W347:AB347)&lt;6,"一部入力",IF(COUNTIF(AC347:AH347,0)=6,"一致","差分あり")))</f>
        <v/>
      </c>
      <c r="AJ3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7" s="19" t="inlineStr"/>
      <c r="AL347" s="18" t="inlineStr">
        <is>
          <t>2026-06-29</t>
        </is>
      </c>
    </row>
    <row r="348" ht="22" customHeight="1">
      <c r="A348" s="17" t="inlineStr">
        <is>
          <t>1004402-LB10</t>
        </is>
      </c>
      <c r="B348" s="18" t="n">
        <v>1004402</v>
      </c>
      <c r="C348" s="17" t="inlineStr">
        <is>
          <t>CSugahara02</t>
        </is>
      </c>
      <c r="D348" s="17" t="inlineStr">
        <is>
          <t>CSugahara</t>
        </is>
      </c>
      <c r="E348" s="17" t="inlineStr">
        <is>
          <t>菅原 千恵</t>
        </is>
      </c>
      <c r="F348" s="19" t="inlineStr">
        <is>
          <t>気まぐれのアンニュイ</t>
        </is>
      </c>
      <c r="G348" s="18" t="inlineStr">
        <is>
          <t>S</t>
        </is>
      </c>
      <c r="H348" s="17" t="inlineStr">
        <is>
          <t>Healer</t>
        </is>
      </c>
      <c r="I348" s="18" t="n">
        <v>10</v>
      </c>
      <c r="J348" s="18" t="n">
        <v>10</v>
      </c>
      <c r="K348" s="18" t="n">
        <v>380</v>
      </c>
      <c r="L348" s="18" t="n">
        <v>414</v>
      </c>
      <c r="M348" s="18" t="n">
        <v>383</v>
      </c>
      <c r="N348" s="18" t="n">
        <v>377</v>
      </c>
      <c r="O348" s="18" t="n">
        <v>408</v>
      </c>
      <c r="P348" s="18" t="n">
        <v>388</v>
      </c>
      <c r="Q348" s="18" t="n">
        <v>38</v>
      </c>
      <c r="R348" s="18" t="n">
        <v>42</v>
      </c>
      <c r="S348" s="18" t="n">
        <v>39</v>
      </c>
      <c r="T348" s="18" t="n">
        <v>38</v>
      </c>
      <c r="U348" s="18" t="n">
        <v>41</v>
      </c>
      <c r="V348" s="18" t="n">
        <v>39</v>
      </c>
      <c r="W348" s="20" t="n"/>
      <c r="X348" s="20" t="n"/>
      <c r="Y348" s="20" t="n"/>
      <c r="Z348" s="20" t="n"/>
      <c r="AA348" s="20" t="n"/>
      <c r="AB348" s="20" t="n"/>
      <c r="AC348" s="21">
        <f>IF(W348="","",W348-K348)</f>
        <v/>
      </c>
      <c r="AD348" s="21">
        <f>IF(X348="","",X348-L348)</f>
        <v/>
      </c>
      <c r="AE348" s="21">
        <f>IF(Y348="","",Y348-M348)</f>
        <v/>
      </c>
      <c r="AF348" s="21">
        <f>IF(Z348="","",Z348-N348)</f>
        <v/>
      </c>
      <c r="AG348" s="21">
        <f>IF(AA348="","",AA348-O348)</f>
        <v/>
      </c>
      <c r="AH348" s="21">
        <f>IF(AB348="","",AB348-P348)</f>
        <v/>
      </c>
      <c r="AI348" s="18">
        <f>IF(COUNTA(W348:AB348)=0,"未入力",IF(COUNTA(W348:AB348)&lt;6,"一部入力",IF(COUNTIF(AC348:AH348,0)=6,"一致","差分あり")))</f>
        <v/>
      </c>
      <c r="AJ3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8" s="19" t="inlineStr"/>
      <c r="AL348" s="18" t="inlineStr">
        <is>
          <t>2026-06-29</t>
        </is>
      </c>
    </row>
    <row r="349" ht="22" customHeight="1">
      <c r="A349" s="17" t="inlineStr">
        <is>
          <t>1004403-LB0</t>
        </is>
      </c>
      <c r="B349" s="18" t="n">
        <v>1004403</v>
      </c>
      <c r="C349" s="17" t="inlineStr">
        <is>
          <t>CSugahara03</t>
        </is>
      </c>
      <c r="D349" s="17" t="inlineStr">
        <is>
          <t>CSugahara</t>
        </is>
      </c>
      <c r="E349" s="17" t="inlineStr">
        <is>
          <t>菅原 千恵</t>
        </is>
      </c>
      <c r="F349" s="19" t="inlineStr">
        <is>
          <t>終末ロリータ白書</t>
        </is>
      </c>
      <c r="G349" s="18" t="inlineStr">
        <is>
          <t>SS</t>
        </is>
      </c>
      <c r="H349" s="17" t="inlineStr">
        <is>
          <t>Defender</t>
        </is>
      </c>
      <c r="I349" s="18" t="n">
        <v>0</v>
      </c>
      <c r="J349" s="18" t="n">
        <v>4</v>
      </c>
      <c r="K349" s="18" t="n">
        <v>385</v>
      </c>
      <c r="L349" s="18" t="n">
        <v>375</v>
      </c>
      <c r="M349" s="18" t="n">
        <v>412</v>
      </c>
      <c r="N349" s="18" t="n">
        <v>395</v>
      </c>
      <c r="O349" s="18" t="n">
        <v>358</v>
      </c>
      <c r="P349" s="18" t="n">
        <v>346</v>
      </c>
      <c r="Q349" s="18" t="n">
        <v>39</v>
      </c>
      <c r="R349" s="18" t="n">
        <v>38</v>
      </c>
      <c r="S349" s="18" t="n">
        <v>42</v>
      </c>
      <c r="T349" s="18" t="n">
        <v>40</v>
      </c>
      <c r="U349" s="18" t="n">
        <v>36</v>
      </c>
      <c r="V349" s="18" t="n">
        <v>35</v>
      </c>
      <c r="W349" s="20" t="n"/>
      <c r="X349" s="20" t="n"/>
      <c r="Y349" s="20" t="n"/>
      <c r="Z349" s="20" t="n"/>
      <c r="AA349" s="20" t="n"/>
      <c r="AB349" s="20" t="n"/>
      <c r="AC349" s="21">
        <f>IF(W349="","",W349-K349)</f>
        <v/>
      </c>
      <c r="AD349" s="21">
        <f>IF(X349="","",X349-L349)</f>
        <v/>
      </c>
      <c r="AE349" s="21">
        <f>IF(Y349="","",Y349-M349)</f>
        <v/>
      </c>
      <c r="AF349" s="21">
        <f>IF(Z349="","",Z349-N349)</f>
        <v/>
      </c>
      <c r="AG349" s="21">
        <f>IF(AA349="","",AA349-O349)</f>
        <v/>
      </c>
      <c r="AH349" s="21">
        <f>IF(AB349="","",AB349-P349)</f>
        <v/>
      </c>
      <c r="AI349" s="18">
        <f>IF(COUNTA(W349:AB349)=0,"未入力",IF(COUNTA(W349:AB349)&lt;6,"一部入力",IF(COUNTIF(AC349:AH349,0)=6,"一致","差分あり")))</f>
        <v/>
      </c>
      <c r="AJ3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49" s="19" t="inlineStr"/>
      <c r="AL349" s="18" t="inlineStr">
        <is>
          <t>2026-06-29</t>
        </is>
      </c>
    </row>
    <row r="350" ht="22" customHeight="1">
      <c r="A350" s="17" t="inlineStr">
        <is>
          <t>1004403-LB4</t>
        </is>
      </c>
      <c r="B350" s="18" t="n">
        <v>1004403</v>
      </c>
      <c r="C350" s="17" t="inlineStr">
        <is>
          <t>CSugahara03</t>
        </is>
      </c>
      <c r="D350" s="17" t="inlineStr">
        <is>
          <t>CSugahara</t>
        </is>
      </c>
      <c r="E350" s="17" t="inlineStr">
        <is>
          <t>菅原 千恵</t>
        </is>
      </c>
      <c r="F350" s="19" t="inlineStr">
        <is>
          <t>終末ロリータ白書</t>
        </is>
      </c>
      <c r="G350" s="18" t="inlineStr">
        <is>
          <t>SS</t>
        </is>
      </c>
      <c r="H350" s="17" t="inlineStr">
        <is>
          <t>Defender</t>
        </is>
      </c>
      <c r="I350" s="18" t="n">
        <v>4</v>
      </c>
      <c r="J350" s="18" t="n">
        <v>4</v>
      </c>
      <c r="K350" s="18" t="n">
        <v>474</v>
      </c>
      <c r="L350" s="18" t="n">
        <v>463</v>
      </c>
      <c r="M350" s="18" t="n">
        <v>499</v>
      </c>
      <c r="N350" s="18" t="n">
        <v>483</v>
      </c>
      <c r="O350" s="18" t="n">
        <v>444</v>
      </c>
      <c r="P350" s="18" t="n">
        <v>435</v>
      </c>
      <c r="Q350" s="18" t="n">
        <v>48</v>
      </c>
      <c r="R350" s="18" t="n">
        <v>47</v>
      </c>
      <c r="S350" s="18" t="n">
        <v>50</v>
      </c>
      <c r="T350" s="18" t="n">
        <v>49</v>
      </c>
      <c r="U350" s="18" t="n">
        <v>45</v>
      </c>
      <c r="V350" s="18" t="n">
        <v>44</v>
      </c>
      <c r="W350" s="20" t="n"/>
      <c r="X350" s="20" t="n"/>
      <c r="Y350" s="20" t="n"/>
      <c r="Z350" s="20" t="n"/>
      <c r="AA350" s="20" t="n"/>
      <c r="AB350" s="20" t="n"/>
      <c r="AC350" s="21">
        <f>IF(W350="","",W350-K350)</f>
        <v/>
      </c>
      <c r="AD350" s="21">
        <f>IF(X350="","",X350-L350)</f>
        <v/>
      </c>
      <c r="AE350" s="21">
        <f>IF(Y350="","",Y350-M350)</f>
        <v/>
      </c>
      <c r="AF350" s="21">
        <f>IF(Z350="","",Z350-N350)</f>
        <v/>
      </c>
      <c r="AG350" s="21">
        <f>IF(AA350="","",AA350-O350)</f>
        <v/>
      </c>
      <c r="AH350" s="21">
        <f>IF(AB350="","",AB350-P350)</f>
        <v/>
      </c>
      <c r="AI350" s="18">
        <f>IF(COUNTA(W350:AB350)=0,"未入力",IF(COUNTA(W350:AB350)&lt;6,"一部入力",IF(COUNTIF(AC350:AH350,0)=6,"一致","差分あり")))</f>
        <v/>
      </c>
      <c r="AJ3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0" s="19" t="inlineStr"/>
      <c r="AL350" s="18" t="inlineStr">
        <is>
          <t>2026-06-29</t>
        </is>
      </c>
    </row>
    <row r="351" ht="22" customHeight="1">
      <c r="A351" s="17" t="inlineStr">
        <is>
          <t>1004404-LB0</t>
        </is>
      </c>
      <c r="B351" s="18" t="n">
        <v>1004404</v>
      </c>
      <c r="C351" s="17" t="inlineStr">
        <is>
          <t>CSugahara04</t>
        </is>
      </c>
      <c r="D351" s="17" t="inlineStr">
        <is>
          <t>CSugahara</t>
        </is>
      </c>
      <c r="E351" s="17" t="inlineStr">
        <is>
          <t>菅原 千恵</t>
        </is>
      </c>
      <c r="F351" s="19" t="inlineStr">
        <is>
          <t>亡国の純心</t>
        </is>
      </c>
      <c r="G351" s="18" t="inlineStr">
        <is>
          <t>SS</t>
        </is>
      </c>
      <c r="H351" s="17" t="inlineStr">
        <is>
          <t>Defender</t>
        </is>
      </c>
      <c r="I351" s="18" t="n">
        <v>0</v>
      </c>
      <c r="J351" s="18" t="n">
        <v>4</v>
      </c>
      <c r="K351" s="18" t="n">
        <v>443</v>
      </c>
      <c r="L351" s="18" t="n">
        <v>362</v>
      </c>
      <c r="M351" s="18" t="n">
        <v>386</v>
      </c>
      <c r="N351" s="18" t="n">
        <v>404</v>
      </c>
      <c r="O351" s="18" t="n">
        <v>392</v>
      </c>
      <c r="P351" s="18" t="n">
        <v>417</v>
      </c>
      <c r="Q351" s="18" t="n">
        <v>45</v>
      </c>
      <c r="R351" s="18" t="n">
        <v>37</v>
      </c>
      <c r="S351" s="18" t="n">
        <v>39</v>
      </c>
      <c r="T351" s="18" t="n">
        <v>41</v>
      </c>
      <c r="U351" s="18" t="n">
        <v>40</v>
      </c>
      <c r="V351" s="18" t="n">
        <v>42</v>
      </c>
      <c r="W351" s="20" t="n"/>
      <c r="X351" s="20" t="n"/>
      <c r="Y351" s="20" t="n"/>
      <c r="Z351" s="20" t="n"/>
      <c r="AA351" s="20" t="n"/>
      <c r="AB351" s="20" t="n"/>
      <c r="AC351" s="21">
        <f>IF(W351="","",W351-K351)</f>
        <v/>
      </c>
      <c r="AD351" s="21">
        <f>IF(X351="","",X351-L351)</f>
        <v/>
      </c>
      <c r="AE351" s="21">
        <f>IF(Y351="","",Y351-M351)</f>
        <v/>
      </c>
      <c r="AF351" s="21">
        <f>IF(Z351="","",Z351-N351)</f>
        <v/>
      </c>
      <c r="AG351" s="21">
        <f>IF(AA351="","",AA351-O351)</f>
        <v/>
      </c>
      <c r="AH351" s="21">
        <f>IF(AB351="","",AB351-P351)</f>
        <v/>
      </c>
      <c r="AI351" s="18">
        <f>IF(COUNTA(W351:AB351)=0,"未入力",IF(COUNTA(W351:AB351)&lt;6,"一部入力",IF(COUNTIF(AC351:AH351,0)=6,"一致","差分あり")))</f>
        <v/>
      </c>
      <c r="AJ3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1" s="19" t="inlineStr"/>
      <c r="AL351" s="18" t="inlineStr">
        <is>
          <t>2026-06-29</t>
        </is>
      </c>
    </row>
    <row r="352" ht="22" customHeight="1">
      <c r="A352" s="17" t="inlineStr">
        <is>
          <t>1004404-LB4</t>
        </is>
      </c>
      <c r="B352" s="18" t="n">
        <v>1004404</v>
      </c>
      <c r="C352" s="17" t="inlineStr">
        <is>
          <t>CSugahara04</t>
        </is>
      </c>
      <c r="D352" s="17" t="inlineStr">
        <is>
          <t>CSugahara</t>
        </is>
      </c>
      <c r="E352" s="17" t="inlineStr">
        <is>
          <t>菅原 千恵</t>
        </is>
      </c>
      <c r="F352" s="19" t="inlineStr">
        <is>
          <t>亡国の純心</t>
        </is>
      </c>
      <c r="G352" s="18" t="inlineStr">
        <is>
          <t>SS</t>
        </is>
      </c>
      <c r="H352" s="17" t="inlineStr">
        <is>
          <t>Defender</t>
        </is>
      </c>
      <c r="I352" s="18" t="n">
        <v>4</v>
      </c>
      <c r="J352" s="18" t="n">
        <v>4</v>
      </c>
      <c r="K352" s="18" t="n">
        <v>532</v>
      </c>
      <c r="L352" s="18" t="n">
        <v>450</v>
      </c>
      <c r="M352" s="18" t="n">
        <v>473</v>
      </c>
      <c r="N352" s="18" t="n">
        <v>493</v>
      </c>
      <c r="O352" s="18" t="n">
        <v>478</v>
      </c>
      <c r="P352" s="18" t="n">
        <v>506</v>
      </c>
      <c r="Q352" s="18" t="n">
        <v>54</v>
      </c>
      <c r="R352" s="18" t="n">
        <v>45</v>
      </c>
      <c r="S352" s="18" t="n">
        <v>48</v>
      </c>
      <c r="T352" s="18" t="n">
        <v>50</v>
      </c>
      <c r="U352" s="18" t="n">
        <v>48</v>
      </c>
      <c r="V352" s="18" t="n">
        <v>51</v>
      </c>
      <c r="W352" s="20" t="n"/>
      <c r="X352" s="20" t="n"/>
      <c r="Y352" s="20" t="n"/>
      <c r="Z352" s="20" t="n"/>
      <c r="AA352" s="20" t="n"/>
      <c r="AB352" s="20" t="n"/>
      <c r="AC352" s="21">
        <f>IF(W352="","",W352-K352)</f>
        <v/>
      </c>
      <c r="AD352" s="21">
        <f>IF(X352="","",X352-L352)</f>
        <v/>
      </c>
      <c r="AE352" s="21">
        <f>IF(Y352="","",Y352-M352)</f>
        <v/>
      </c>
      <c r="AF352" s="21">
        <f>IF(Z352="","",Z352-N352)</f>
        <v/>
      </c>
      <c r="AG352" s="21">
        <f>IF(AA352="","",AA352-O352)</f>
        <v/>
      </c>
      <c r="AH352" s="21">
        <f>IF(AB352="","",AB352-P352)</f>
        <v/>
      </c>
      <c r="AI352" s="18">
        <f>IF(COUNTA(W352:AB352)=0,"未入力",IF(COUNTA(W352:AB352)&lt;6,"一部入力",IF(COUNTIF(AC352:AH352,0)=6,"一致","差分あり")))</f>
        <v/>
      </c>
      <c r="AJ3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2" s="19" t="inlineStr"/>
      <c r="AL352" s="18" t="inlineStr">
        <is>
          <t>2026-06-29</t>
        </is>
      </c>
    </row>
    <row r="353" ht="22" customHeight="1">
      <c r="A353" s="17" t="inlineStr">
        <is>
          <t>1004405-LB0</t>
        </is>
      </c>
      <c r="B353" s="18" t="n">
        <v>1004405</v>
      </c>
      <c r="C353" s="17" t="inlineStr">
        <is>
          <t>CSugahara05</t>
        </is>
      </c>
      <c r="D353" s="17" t="inlineStr">
        <is>
          <t>CSugahara</t>
        </is>
      </c>
      <c r="E353" s="17" t="inlineStr">
        <is>
          <t>菅原 千恵</t>
        </is>
      </c>
      <c r="F353" s="19" t="inlineStr">
        <is>
          <t>センパイの品格</t>
        </is>
      </c>
      <c r="G353" s="18" t="inlineStr">
        <is>
          <t>S</t>
        </is>
      </c>
      <c r="H353" s="17" t="inlineStr">
        <is>
          <t>Healer</t>
        </is>
      </c>
      <c r="I353" s="18" t="n">
        <v>0</v>
      </c>
      <c r="J353" s="18" t="n">
        <v>10</v>
      </c>
      <c r="K353" s="18" t="n">
        <v>324</v>
      </c>
      <c r="L353" s="18" t="n">
        <v>316</v>
      </c>
      <c r="M353" s="18" t="n">
        <v>350</v>
      </c>
      <c r="N353" s="18" t="n">
        <v>354</v>
      </c>
      <c r="O353" s="18" t="n">
        <v>301</v>
      </c>
      <c r="P353" s="18" t="n">
        <v>310</v>
      </c>
      <c r="Q353" s="18" t="n">
        <v>33</v>
      </c>
      <c r="R353" s="18" t="n">
        <v>32</v>
      </c>
      <c r="S353" s="18" t="n">
        <v>35</v>
      </c>
      <c r="T353" s="18" t="n">
        <v>36</v>
      </c>
      <c r="U353" s="18" t="n">
        <v>31</v>
      </c>
      <c r="V353" s="18" t="n">
        <v>31</v>
      </c>
      <c r="W353" s="20" t="n"/>
      <c r="X353" s="20" t="n"/>
      <c r="Y353" s="20" t="n"/>
      <c r="Z353" s="20" t="n"/>
      <c r="AA353" s="20" t="n"/>
      <c r="AB353" s="20" t="n"/>
      <c r="AC353" s="21">
        <f>IF(W353="","",W353-K353)</f>
        <v/>
      </c>
      <c r="AD353" s="21">
        <f>IF(X353="","",X353-L353)</f>
        <v/>
      </c>
      <c r="AE353" s="21">
        <f>IF(Y353="","",Y353-M353)</f>
        <v/>
      </c>
      <c r="AF353" s="21">
        <f>IF(Z353="","",Z353-N353)</f>
        <v/>
      </c>
      <c r="AG353" s="21">
        <f>IF(AA353="","",AA353-O353)</f>
        <v/>
      </c>
      <c r="AH353" s="21">
        <f>IF(AB353="","",AB353-P353)</f>
        <v/>
      </c>
      <c r="AI353" s="18">
        <f>IF(COUNTA(W353:AB353)=0,"未入力",IF(COUNTA(W353:AB353)&lt;6,"一部入力",IF(COUNTIF(AC353:AH353,0)=6,"一致","差分あり")))</f>
        <v/>
      </c>
      <c r="AJ3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3" s="19" t="inlineStr"/>
      <c r="AL353" s="18" t="inlineStr">
        <is>
          <t>2026-06-29</t>
        </is>
      </c>
    </row>
    <row r="354" ht="22" customHeight="1">
      <c r="A354" s="17" t="inlineStr">
        <is>
          <t>1004405-LB10</t>
        </is>
      </c>
      <c r="B354" s="18" t="n">
        <v>1004405</v>
      </c>
      <c r="C354" s="17" t="inlineStr">
        <is>
          <t>CSugahara05</t>
        </is>
      </c>
      <c r="D354" s="17" t="inlineStr">
        <is>
          <t>CSugahara</t>
        </is>
      </c>
      <c r="E354" s="17" t="inlineStr">
        <is>
          <t>菅原 千恵</t>
        </is>
      </c>
      <c r="F354" s="19" t="inlineStr">
        <is>
          <t>センパイの品格</t>
        </is>
      </c>
      <c r="G354" s="18" t="inlineStr">
        <is>
          <t>S</t>
        </is>
      </c>
      <c r="H354" s="17" t="inlineStr">
        <is>
          <t>Healer</t>
        </is>
      </c>
      <c r="I354" s="18" t="n">
        <v>10</v>
      </c>
      <c r="J354" s="18" t="n">
        <v>10</v>
      </c>
      <c r="K354" s="18" t="n">
        <v>391</v>
      </c>
      <c r="L354" s="18" t="n">
        <v>381</v>
      </c>
      <c r="M354" s="18" t="n">
        <v>416</v>
      </c>
      <c r="N354" s="18" t="n">
        <v>421</v>
      </c>
      <c r="O354" s="18" t="n">
        <v>365</v>
      </c>
      <c r="P354" s="18" t="n">
        <v>377</v>
      </c>
      <c r="Q354" s="18" t="n">
        <v>40</v>
      </c>
      <c r="R354" s="18" t="n">
        <v>39</v>
      </c>
      <c r="S354" s="18" t="n">
        <v>42</v>
      </c>
      <c r="T354" s="18" t="n">
        <v>43</v>
      </c>
      <c r="U354" s="18" t="n">
        <v>37</v>
      </c>
      <c r="V354" s="18" t="n">
        <v>38</v>
      </c>
      <c r="W354" s="20" t="n"/>
      <c r="X354" s="20" t="n"/>
      <c r="Y354" s="20" t="n"/>
      <c r="Z354" s="20" t="n"/>
      <c r="AA354" s="20" t="n"/>
      <c r="AB354" s="20" t="n"/>
      <c r="AC354" s="21">
        <f>IF(W354="","",W354-K354)</f>
        <v/>
      </c>
      <c r="AD354" s="21">
        <f>IF(X354="","",X354-L354)</f>
        <v/>
      </c>
      <c r="AE354" s="21">
        <f>IF(Y354="","",Y354-M354)</f>
        <v/>
      </c>
      <c r="AF354" s="21">
        <f>IF(Z354="","",Z354-N354)</f>
        <v/>
      </c>
      <c r="AG354" s="21">
        <f>IF(AA354="","",AA354-O354)</f>
        <v/>
      </c>
      <c r="AH354" s="21">
        <f>IF(AB354="","",AB354-P354)</f>
        <v/>
      </c>
      <c r="AI354" s="18">
        <f>IF(COUNTA(W354:AB354)=0,"未入力",IF(COUNTA(W354:AB354)&lt;6,"一部入力",IF(COUNTIF(AC354:AH354,0)=6,"一致","差分あり")))</f>
        <v/>
      </c>
      <c r="AJ3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4" s="19" t="inlineStr"/>
      <c r="AL354" s="18" t="inlineStr">
        <is>
          <t>2026-06-29</t>
        </is>
      </c>
    </row>
    <row r="355" ht="22" customHeight="1">
      <c r="A355" s="17" t="inlineStr">
        <is>
          <t>1004406-LB0</t>
        </is>
      </c>
      <c r="B355" s="18" t="n">
        <v>1004406</v>
      </c>
      <c r="C355" s="17" t="inlineStr">
        <is>
          <t>CSugahara06</t>
        </is>
      </c>
      <c r="D355" s="17" t="inlineStr">
        <is>
          <t>CSugahara</t>
        </is>
      </c>
      <c r="E355" s="17" t="inlineStr">
        <is>
          <t>菅原 千恵</t>
        </is>
      </c>
      <c r="F355" s="19" t="inlineStr">
        <is>
          <t>ロリータ・ストイック</t>
        </is>
      </c>
      <c r="G355" s="18" t="inlineStr">
        <is>
          <t>SS</t>
        </is>
      </c>
      <c r="H355" s="17" t="inlineStr">
        <is>
          <t>Buffer</t>
        </is>
      </c>
      <c r="I355" s="18" t="n">
        <v>0</v>
      </c>
      <c r="J355" s="18" t="n">
        <v>4</v>
      </c>
      <c r="K355" s="18" t="n">
        <v>407</v>
      </c>
      <c r="L355" s="18" t="n">
        <v>397</v>
      </c>
      <c r="M355" s="18" t="n">
        <v>434</v>
      </c>
      <c r="N355" s="18" t="n">
        <v>417</v>
      </c>
      <c r="O355" s="18" t="n">
        <v>379</v>
      </c>
      <c r="P355" s="18" t="n">
        <v>368</v>
      </c>
      <c r="Q355" s="18" t="n">
        <v>41</v>
      </c>
      <c r="R355" s="18" t="n">
        <v>40</v>
      </c>
      <c r="S355" s="18" t="n">
        <v>44</v>
      </c>
      <c r="T355" s="18" t="n">
        <v>42</v>
      </c>
      <c r="U355" s="18" t="n">
        <v>38</v>
      </c>
      <c r="V355" s="18" t="n">
        <v>37</v>
      </c>
      <c r="W355" s="20" t="n"/>
      <c r="X355" s="20" t="n"/>
      <c r="Y355" s="20" t="n"/>
      <c r="Z355" s="20" t="n"/>
      <c r="AA355" s="20" t="n"/>
      <c r="AB355" s="20" t="n"/>
      <c r="AC355" s="21">
        <f>IF(W355="","",W355-K355)</f>
        <v/>
      </c>
      <c r="AD355" s="21">
        <f>IF(X355="","",X355-L355)</f>
        <v/>
      </c>
      <c r="AE355" s="21">
        <f>IF(Y355="","",Y355-M355)</f>
        <v/>
      </c>
      <c r="AF355" s="21">
        <f>IF(Z355="","",Z355-N355)</f>
        <v/>
      </c>
      <c r="AG355" s="21">
        <f>IF(AA355="","",AA355-O355)</f>
        <v/>
      </c>
      <c r="AH355" s="21">
        <f>IF(AB355="","",AB355-P355)</f>
        <v/>
      </c>
      <c r="AI355" s="18">
        <f>IF(COUNTA(W355:AB355)=0,"未入力",IF(COUNTA(W355:AB355)&lt;6,"一部入力",IF(COUNTIF(AC355:AH355,0)=6,"一致","差分あり")))</f>
        <v/>
      </c>
      <c r="AJ3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5" s="19" t="inlineStr"/>
      <c r="AL355" s="18" t="inlineStr">
        <is>
          <t>2026-06-29</t>
        </is>
      </c>
    </row>
    <row r="356" ht="22" customHeight="1">
      <c r="A356" s="17" t="inlineStr">
        <is>
          <t>1004406-LB4</t>
        </is>
      </c>
      <c r="B356" s="18" t="n">
        <v>1004406</v>
      </c>
      <c r="C356" s="17" t="inlineStr">
        <is>
          <t>CSugahara06</t>
        </is>
      </c>
      <c r="D356" s="17" t="inlineStr">
        <is>
          <t>CSugahara</t>
        </is>
      </c>
      <c r="E356" s="17" t="inlineStr">
        <is>
          <t>菅原 千恵</t>
        </is>
      </c>
      <c r="F356" s="19" t="inlineStr">
        <is>
          <t>ロリータ・ストイック</t>
        </is>
      </c>
      <c r="G356" s="18" t="inlineStr">
        <is>
          <t>SS</t>
        </is>
      </c>
      <c r="H356" s="17" t="inlineStr">
        <is>
          <t>Buffer</t>
        </is>
      </c>
      <c r="I356" s="18" t="n">
        <v>4</v>
      </c>
      <c r="J356" s="18" t="n">
        <v>4</v>
      </c>
      <c r="K356" s="18" t="n">
        <v>497</v>
      </c>
      <c r="L356" s="18" t="n">
        <v>484</v>
      </c>
      <c r="M356" s="18" t="n">
        <v>521</v>
      </c>
      <c r="N356" s="18" t="n">
        <v>506</v>
      </c>
      <c r="O356" s="18" t="n">
        <v>465</v>
      </c>
      <c r="P356" s="18" t="n">
        <v>457</v>
      </c>
      <c r="Q356" s="18" t="n">
        <v>50</v>
      </c>
      <c r="R356" s="18" t="n">
        <v>49</v>
      </c>
      <c r="S356" s="18" t="n">
        <v>53</v>
      </c>
      <c r="T356" s="18" t="n">
        <v>51</v>
      </c>
      <c r="U356" s="18" t="n">
        <v>47</v>
      </c>
      <c r="V356" s="18" t="n">
        <v>46</v>
      </c>
      <c r="W356" s="20" t="n"/>
      <c r="X356" s="20" t="n"/>
      <c r="Y356" s="20" t="n"/>
      <c r="Z356" s="20" t="n"/>
      <c r="AA356" s="20" t="n"/>
      <c r="AB356" s="20" t="n"/>
      <c r="AC356" s="21">
        <f>IF(W356="","",W356-K356)</f>
        <v/>
      </c>
      <c r="AD356" s="21">
        <f>IF(X356="","",X356-L356)</f>
        <v/>
      </c>
      <c r="AE356" s="21">
        <f>IF(Y356="","",Y356-M356)</f>
        <v/>
      </c>
      <c r="AF356" s="21">
        <f>IF(Z356="","",Z356-N356)</f>
        <v/>
      </c>
      <c r="AG356" s="21">
        <f>IF(AA356="","",AA356-O356)</f>
        <v/>
      </c>
      <c r="AH356" s="21">
        <f>IF(AB356="","",AB356-P356)</f>
        <v/>
      </c>
      <c r="AI356" s="18">
        <f>IF(COUNTA(W356:AB356)=0,"未入力",IF(COUNTA(W356:AB356)&lt;6,"一部入力",IF(COUNTIF(AC356:AH356,0)=6,"一致","差分あり")))</f>
        <v/>
      </c>
      <c r="AJ3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6" s="19" t="inlineStr"/>
      <c r="AL356" s="18" t="inlineStr">
        <is>
          <t>2026-06-29</t>
        </is>
      </c>
    </row>
    <row r="357" ht="22" customHeight="1">
      <c r="A357" s="17" t="inlineStr">
        <is>
          <t>1004407-LB0</t>
        </is>
      </c>
      <c r="B357" s="18" t="n">
        <v>1004407</v>
      </c>
      <c r="C357" s="17" t="inlineStr">
        <is>
          <t>CSugahara07</t>
        </is>
      </c>
      <c r="D357" s="17" t="inlineStr">
        <is>
          <t>CSugahara</t>
        </is>
      </c>
      <c r="E357" s="17" t="inlineStr">
        <is>
          <t>菅原 千恵</t>
        </is>
      </c>
      <c r="F357" s="19" t="inlineStr">
        <is>
          <t>フェリティ・インサニティ</t>
        </is>
      </c>
      <c r="G357" s="18" t="inlineStr">
        <is>
          <t>SS</t>
        </is>
      </c>
      <c r="H357" s="17" t="inlineStr">
        <is>
          <t>Healer</t>
        </is>
      </c>
      <c r="I357" s="18" t="n">
        <v>0</v>
      </c>
      <c r="J357" s="18" t="n">
        <v>4</v>
      </c>
      <c r="K357" s="18" t="n">
        <v>443</v>
      </c>
      <c r="L357" s="18" t="n">
        <v>362</v>
      </c>
      <c r="M357" s="18" t="n">
        <v>386</v>
      </c>
      <c r="N357" s="18" t="n">
        <v>404</v>
      </c>
      <c r="O357" s="18" t="n">
        <v>392</v>
      </c>
      <c r="P357" s="18" t="n">
        <v>417</v>
      </c>
      <c r="Q357" s="18" t="n">
        <v>45</v>
      </c>
      <c r="R357" s="18" t="n">
        <v>37</v>
      </c>
      <c r="S357" s="18" t="n">
        <v>39</v>
      </c>
      <c r="T357" s="18" t="n">
        <v>41</v>
      </c>
      <c r="U357" s="18" t="n">
        <v>40</v>
      </c>
      <c r="V357" s="18" t="n">
        <v>42</v>
      </c>
      <c r="W357" s="20" t="n"/>
      <c r="X357" s="20" t="n"/>
      <c r="Y357" s="20" t="n"/>
      <c r="Z357" s="20" t="n"/>
      <c r="AA357" s="20" t="n"/>
      <c r="AB357" s="20" t="n"/>
      <c r="AC357" s="21">
        <f>IF(W357="","",W357-K357)</f>
        <v/>
      </c>
      <c r="AD357" s="21">
        <f>IF(X357="","",X357-L357)</f>
        <v/>
      </c>
      <c r="AE357" s="21">
        <f>IF(Y357="","",Y357-M357)</f>
        <v/>
      </c>
      <c r="AF357" s="21">
        <f>IF(Z357="","",Z357-N357)</f>
        <v/>
      </c>
      <c r="AG357" s="21">
        <f>IF(AA357="","",AA357-O357)</f>
        <v/>
      </c>
      <c r="AH357" s="21">
        <f>IF(AB357="","",AB357-P357)</f>
        <v/>
      </c>
      <c r="AI357" s="18">
        <f>IF(COUNTA(W357:AB357)=0,"未入力",IF(COUNTA(W357:AB357)&lt;6,"一部入力",IF(COUNTIF(AC357:AH357,0)=6,"一致","差分あり")))</f>
        <v/>
      </c>
      <c r="AJ3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7" s="19" t="inlineStr"/>
      <c r="AL357" s="18" t="inlineStr">
        <is>
          <t>2026-06-29</t>
        </is>
      </c>
    </row>
    <row r="358" ht="22" customHeight="1">
      <c r="A358" s="17" t="inlineStr">
        <is>
          <t>1004407-LB4</t>
        </is>
      </c>
      <c r="B358" s="18" t="n">
        <v>1004407</v>
      </c>
      <c r="C358" s="17" t="inlineStr">
        <is>
          <t>CSugahara07</t>
        </is>
      </c>
      <c r="D358" s="17" t="inlineStr">
        <is>
          <t>CSugahara</t>
        </is>
      </c>
      <c r="E358" s="17" t="inlineStr">
        <is>
          <t>菅原 千恵</t>
        </is>
      </c>
      <c r="F358" s="19" t="inlineStr">
        <is>
          <t>フェリティ・インサニティ</t>
        </is>
      </c>
      <c r="G358" s="18" t="inlineStr">
        <is>
          <t>SS</t>
        </is>
      </c>
      <c r="H358" s="17" t="inlineStr">
        <is>
          <t>Healer</t>
        </is>
      </c>
      <c r="I358" s="18" t="n">
        <v>4</v>
      </c>
      <c r="J358" s="18" t="n">
        <v>4</v>
      </c>
      <c r="K358" s="18" t="n">
        <v>532</v>
      </c>
      <c r="L358" s="18" t="n">
        <v>450</v>
      </c>
      <c r="M358" s="18" t="n">
        <v>473</v>
      </c>
      <c r="N358" s="18" t="n">
        <v>493</v>
      </c>
      <c r="O358" s="18" t="n">
        <v>478</v>
      </c>
      <c r="P358" s="18" t="n">
        <v>506</v>
      </c>
      <c r="Q358" s="18" t="n">
        <v>54</v>
      </c>
      <c r="R358" s="18" t="n">
        <v>45</v>
      </c>
      <c r="S358" s="18" t="n">
        <v>48</v>
      </c>
      <c r="T358" s="18" t="n">
        <v>50</v>
      </c>
      <c r="U358" s="18" t="n">
        <v>48</v>
      </c>
      <c r="V358" s="18" t="n">
        <v>51</v>
      </c>
      <c r="W358" s="20" t="n"/>
      <c r="X358" s="20" t="n"/>
      <c r="Y358" s="20" t="n"/>
      <c r="Z358" s="20" t="n"/>
      <c r="AA358" s="20" t="n"/>
      <c r="AB358" s="20" t="n"/>
      <c r="AC358" s="21">
        <f>IF(W358="","",W358-K358)</f>
        <v/>
      </c>
      <c r="AD358" s="21">
        <f>IF(X358="","",X358-L358)</f>
        <v/>
      </c>
      <c r="AE358" s="21">
        <f>IF(Y358="","",Y358-M358)</f>
        <v/>
      </c>
      <c r="AF358" s="21">
        <f>IF(Z358="","",Z358-N358)</f>
        <v/>
      </c>
      <c r="AG358" s="21">
        <f>IF(AA358="","",AA358-O358)</f>
        <v/>
      </c>
      <c r="AH358" s="21">
        <f>IF(AB358="","",AB358-P358)</f>
        <v/>
      </c>
      <c r="AI358" s="18">
        <f>IF(COUNTA(W358:AB358)=0,"未入力",IF(COUNTA(W358:AB358)&lt;6,"一部入力",IF(COUNTIF(AC358:AH358,0)=6,"一致","差分あり")))</f>
        <v/>
      </c>
      <c r="AJ3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8" s="19" t="inlineStr"/>
      <c r="AL358" s="18" t="inlineStr">
        <is>
          <t>2026-06-29</t>
        </is>
      </c>
    </row>
    <row r="359" ht="22" customHeight="1">
      <c r="A359" s="17" t="inlineStr">
        <is>
          <t>1004501-LB0</t>
        </is>
      </c>
      <c r="B359" s="18" t="n">
        <v>1004501</v>
      </c>
      <c r="C359" s="17" t="inlineStr">
        <is>
          <t>HOgasawara01</t>
        </is>
      </c>
      <c r="D359" s="17" t="inlineStr">
        <is>
          <t>HOgasawara</t>
        </is>
      </c>
      <c r="E359" s="17" t="inlineStr">
        <is>
          <t>小笠原 緋雨</t>
        </is>
      </c>
      <c r="F359" s="19" t="inlineStr">
        <is>
          <t>仄かに揺らぐファイア</t>
        </is>
      </c>
      <c r="G359" s="18" t="inlineStr">
        <is>
          <t>A</t>
        </is>
      </c>
      <c r="H359" s="17" t="inlineStr">
        <is>
          <t>Breaker</t>
        </is>
      </c>
      <c r="I359" s="18" t="n">
        <v>0</v>
      </c>
      <c r="J359" s="18" t="n">
        <v>20</v>
      </c>
      <c r="K359" s="18" t="n">
        <v>243</v>
      </c>
      <c r="L359" s="18" t="n">
        <v>299</v>
      </c>
      <c r="M359" s="18" t="n">
        <v>284</v>
      </c>
      <c r="N359" s="18" t="n">
        <v>252</v>
      </c>
      <c r="O359" s="18" t="n">
        <v>294</v>
      </c>
      <c r="P359" s="18" t="n">
        <v>275</v>
      </c>
      <c r="Q359" s="18" t="n">
        <v>25</v>
      </c>
      <c r="R359" s="18" t="n">
        <v>30</v>
      </c>
      <c r="S359" s="18" t="n">
        <v>29</v>
      </c>
      <c r="T359" s="18" t="n">
        <v>26</v>
      </c>
      <c r="U359" s="18" t="n">
        <v>30</v>
      </c>
      <c r="V359" s="18" t="n">
        <v>28</v>
      </c>
      <c r="W359" s="20" t="n"/>
      <c r="X359" s="20" t="n"/>
      <c r="Y359" s="20" t="n"/>
      <c r="Z359" s="20" t="n"/>
      <c r="AA359" s="20" t="n"/>
      <c r="AB359" s="20" t="n"/>
      <c r="AC359" s="21">
        <f>IF(W359="","",W359-K359)</f>
        <v/>
      </c>
      <c r="AD359" s="21">
        <f>IF(X359="","",X359-L359)</f>
        <v/>
      </c>
      <c r="AE359" s="21">
        <f>IF(Y359="","",Y359-M359)</f>
        <v/>
      </c>
      <c r="AF359" s="21">
        <f>IF(Z359="","",Z359-N359)</f>
        <v/>
      </c>
      <c r="AG359" s="21">
        <f>IF(AA359="","",AA359-O359)</f>
        <v/>
      </c>
      <c r="AH359" s="21">
        <f>IF(AB359="","",AB359-P359)</f>
        <v/>
      </c>
      <c r="AI359" s="18">
        <f>IF(COUNTA(W359:AB359)=0,"未入力",IF(COUNTA(W359:AB359)&lt;6,"一部入力",IF(COUNTIF(AC359:AH359,0)=6,"一致","差分あり")))</f>
        <v/>
      </c>
      <c r="AJ3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59" s="19" t="inlineStr"/>
      <c r="AL359" s="18" t="inlineStr">
        <is>
          <t>2026-06-29</t>
        </is>
      </c>
    </row>
    <row r="360" ht="22" customHeight="1">
      <c r="A360" s="17" t="inlineStr">
        <is>
          <t>1004501-LB20</t>
        </is>
      </c>
      <c r="B360" s="18" t="n">
        <v>1004501</v>
      </c>
      <c r="C360" s="17" t="inlineStr">
        <is>
          <t>HOgasawara01</t>
        </is>
      </c>
      <c r="D360" s="17" t="inlineStr">
        <is>
          <t>HOgasawara</t>
        </is>
      </c>
      <c r="E360" s="17" t="inlineStr">
        <is>
          <t>小笠原 緋雨</t>
        </is>
      </c>
      <c r="F360" s="19" t="inlineStr">
        <is>
          <t>仄かに揺らぐファイア</t>
        </is>
      </c>
      <c r="G360" s="18" t="inlineStr">
        <is>
          <t>A</t>
        </is>
      </c>
      <c r="H360" s="17" t="inlineStr">
        <is>
          <t>Breaker</t>
        </is>
      </c>
      <c r="I360" s="18" t="n">
        <v>20</v>
      </c>
      <c r="J360" s="18" t="n">
        <v>20</v>
      </c>
      <c r="K360" s="18" t="n">
        <v>286</v>
      </c>
      <c r="L360" s="18" t="n">
        <v>346</v>
      </c>
      <c r="M360" s="18" t="n">
        <v>329</v>
      </c>
      <c r="N360" s="18" t="n">
        <v>297</v>
      </c>
      <c r="O360" s="18" t="n">
        <v>338</v>
      </c>
      <c r="P360" s="18" t="n">
        <v>319</v>
      </c>
      <c r="Q360" s="18" t="n">
        <v>29</v>
      </c>
      <c r="R360" s="18" t="n">
        <v>35</v>
      </c>
      <c r="S360" s="18" t="n">
        <v>33</v>
      </c>
      <c r="T360" s="18" t="n">
        <v>30</v>
      </c>
      <c r="U360" s="18" t="n">
        <v>34</v>
      </c>
      <c r="V360" s="18" t="n">
        <v>32</v>
      </c>
      <c r="W360" s="20" t="n"/>
      <c r="X360" s="20" t="n"/>
      <c r="Y360" s="20" t="n"/>
      <c r="Z360" s="20" t="n"/>
      <c r="AA360" s="20" t="n"/>
      <c r="AB360" s="20" t="n"/>
      <c r="AC360" s="21">
        <f>IF(W360="","",W360-K360)</f>
        <v/>
      </c>
      <c r="AD360" s="21">
        <f>IF(X360="","",X360-L360)</f>
        <v/>
      </c>
      <c r="AE360" s="21">
        <f>IF(Y360="","",Y360-M360)</f>
        <v/>
      </c>
      <c r="AF360" s="21">
        <f>IF(Z360="","",Z360-N360)</f>
        <v/>
      </c>
      <c r="AG360" s="21">
        <f>IF(AA360="","",AA360-O360)</f>
        <v/>
      </c>
      <c r="AH360" s="21">
        <f>IF(AB360="","",AB360-P360)</f>
        <v/>
      </c>
      <c r="AI360" s="18">
        <f>IF(COUNTA(W360:AB360)=0,"未入力",IF(COUNTA(W360:AB360)&lt;6,"一部入力",IF(COUNTIF(AC360:AH360,0)=6,"一致","差分あり")))</f>
        <v/>
      </c>
      <c r="AJ3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0" s="19" t="inlineStr"/>
      <c r="AL360" s="18" t="inlineStr">
        <is>
          <t>2026-06-29</t>
        </is>
      </c>
    </row>
    <row r="361" ht="22" customHeight="1">
      <c r="A361" s="17" t="inlineStr">
        <is>
          <t>1004502-LB0</t>
        </is>
      </c>
      <c r="B361" s="18" t="n">
        <v>1004502</v>
      </c>
      <c r="C361" s="17" t="inlineStr">
        <is>
          <t>HOgasawara02</t>
        </is>
      </c>
      <c r="D361" s="17" t="inlineStr">
        <is>
          <t>HOgasawara</t>
        </is>
      </c>
      <c r="E361" s="17" t="inlineStr">
        <is>
          <t>小笠原 緋雨</t>
        </is>
      </c>
      <c r="F361" s="19" t="inlineStr">
        <is>
          <t>静寂閑雅のレスト</t>
        </is>
      </c>
      <c r="G361" s="18" t="inlineStr">
        <is>
          <t>S</t>
        </is>
      </c>
      <c r="H361" s="17" t="inlineStr">
        <is>
          <t>Breaker</t>
        </is>
      </c>
      <c r="I361" s="18" t="n">
        <v>0</v>
      </c>
      <c r="J361" s="18" t="n">
        <v>10</v>
      </c>
      <c r="K361" s="18" t="n">
        <v>313</v>
      </c>
      <c r="L361" s="18" t="n">
        <v>328</v>
      </c>
      <c r="M361" s="18" t="n">
        <v>353</v>
      </c>
      <c r="N361" s="18" t="n">
        <v>357</v>
      </c>
      <c r="O361" s="18" t="n">
        <v>310</v>
      </c>
      <c r="P361" s="18" t="n">
        <v>302</v>
      </c>
      <c r="Q361" s="18" t="n">
        <v>32</v>
      </c>
      <c r="R361" s="18" t="n">
        <v>33</v>
      </c>
      <c r="S361" s="18" t="n">
        <v>36</v>
      </c>
      <c r="T361" s="18" t="n">
        <v>36</v>
      </c>
      <c r="U361" s="18" t="n">
        <v>31</v>
      </c>
      <c r="V361" s="18" t="n">
        <v>31</v>
      </c>
      <c r="W361" s="20" t="n"/>
      <c r="X361" s="20" t="n"/>
      <c r="Y361" s="20" t="n"/>
      <c r="Z361" s="20" t="n"/>
      <c r="AA361" s="20" t="n"/>
      <c r="AB361" s="20" t="n"/>
      <c r="AC361" s="21">
        <f>IF(W361="","",W361-K361)</f>
        <v/>
      </c>
      <c r="AD361" s="21">
        <f>IF(X361="","",X361-L361)</f>
        <v/>
      </c>
      <c r="AE361" s="21">
        <f>IF(Y361="","",Y361-M361)</f>
        <v/>
      </c>
      <c r="AF361" s="21">
        <f>IF(Z361="","",Z361-N361)</f>
        <v/>
      </c>
      <c r="AG361" s="21">
        <f>IF(AA361="","",AA361-O361)</f>
        <v/>
      </c>
      <c r="AH361" s="21">
        <f>IF(AB361="","",AB361-P361)</f>
        <v/>
      </c>
      <c r="AI361" s="18">
        <f>IF(COUNTA(W361:AB361)=0,"未入力",IF(COUNTA(W361:AB361)&lt;6,"一部入力",IF(COUNTIF(AC361:AH361,0)=6,"一致","差分あり")))</f>
        <v/>
      </c>
      <c r="AJ3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1" s="19" t="inlineStr"/>
      <c r="AL361" s="18" t="inlineStr">
        <is>
          <t>2026-06-29</t>
        </is>
      </c>
    </row>
    <row r="362" ht="22" customHeight="1">
      <c r="A362" s="17" t="inlineStr">
        <is>
          <t>1004502-LB10</t>
        </is>
      </c>
      <c r="B362" s="18" t="n">
        <v>1004502</v>
      </c>
      <c r="C362" s="17" t="inlineStr">
        <is>
          <t>HOgasawara02</t>
        </is>
      </c>
      <c r="D362" s="17" t="inlineStr">
        <is>
          <t>HOgasawara</t>
        </is>
      </c>
      <c r="E362" s="17" t="inlineStr">
        <is>
          <t>小笠原 緋雨</t>
        </is>
      </c>
      <c r="F362" s="19" t="inlineStr">
        <is>
          <t>静寂閑雅のレスト</t>
        </is>
      </c>
      <c r="G362" s="18" t="inlineStr">
        <is>
          <t>S</t>
        </is>
      </c>
      <c r="H362" s="17" t="inlineStr">
        <is>
          <t>Breaker</t>
        </is>
      </c>
      <c r="I362" s="18" t="n">
        <v>10</v>
      </c>
      <c r="J362" s="18" t="n">
        <v>10</v>
      </c>
      <c r="K362" s="18" t="n">
        <v>378</v>
      </c>
      <c r="L362" s="18" t="n">
        <v>396</v>
      </c>
      <c r="M362" s="18" t="n">
        <v>423</v>
      </c>
      <c r="N362" s="18" t="n">
        <v>425</v>
      </c>
      <c r="O362" s="18" t="n">
        <v>377</v>
      </c>
      <c r="P362" s="18" t="n">
        <v>367</v>
      </c>
      <c r="Q362" s="18" t="n">
        <v>38</v>
      </c>
      <c r="R362" s="18" t="n">
        <v>40</v>
      </c>
      <c r="S362" s="18" t="n">
        <v>43</v>
      </c>
      <c r="T362" s="18" t="n">
        <v>43</v>
      </c>
      <c r="U362" s="18" t="n">
        <v>38</v>
      </c>
      <c r="V362" s="18" t="n">
        <v>37</v>
      </c>
      <c r="W362" s="20" t="n"/>
      <c r="X362" s="20" t="n"/>
      <c r="Y362" s="20" t="n"/>
      <c r="Z362" s="20" t="n"/>
      <c r="AA362" s="20" t="n"/>
      <c r="AB362" s="20" t="n"/>
      <c r="AC362" s="21">
        <f>IF(W362="","",W362-K362)</f>
        <v/>
      </c>
      <c r="AD362" s="21">
        <f>IF(X362="","",X362-L362)</f>
        <v/>
      </c>
      <c r="AE362" s="21">
        <f>IF(Y362="","",Y362-M362)</f>
        <v/>
      </c>
      <c r="AF362" s="21">
        <f>IF(Z362="","",Z362-N362)</f>
        <v/>
      </c>
      <c r="AG362" s="21">
        <f>IF(AA362="","",AA362-O362)</f>
        <v/>
      </c>
      <c r="AH362" s="21">
        <f>IF(AB362="","",AB362-P362)</f>
        <v/>
      </c>
      <c r="AI362" s="18">
        <f>IF(COUNTA(W362:AB362)=0,"未入力",IF(COUNTA(W362:AB362)&lt;6,"一部入力",IF(COUNTIF(AC362:AH362,0)=6,"一致","差分あり")))</f>
        <v/>
      </c>
      <c r="AJ3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2" s="19" t="inlineStr"/>
      <c r="AL362" s="18" t="inlineStr">
        <is>
          <t>2026-06-29</t>
        </is>
      </c>
    </row>
    <row r="363" ht="22" customHeight="1">
      <c r="A363" s="17" t="inlineStr">
        <is>
          <t>1004503-LB0</t>
        </is>
      </c>
      <c r="B363" s="18" t="n">
        <v>1004503</v>
      </c>
      <c r="C363" s="17" t="inlineStr">
        <is>
          <t>HOgasawara03</t>
        </is>
      </c>
      <c r="D363" s="17" t="inlineStr">
        <is>
          <t>HOgasawara</t>
        </is>
      </c>
      <c r="E363" s="17" t="inlineStr">
        <is>
          <t>小笠原 緋雨</t>
        </is>
      </c>
      <c r="F363" s="19" t="inlineStr">
        <is>
          <t>朧月夜のバレット</t>
        </is>
      </c>
      <c r="G363" s="18" t="inlineStr">
        <is>
          <t>SS</t>
        </is>
      </c>
      <c r="H363" s="17" t="inlineStr">
        <is>
          <t>Breaker</t>
        </is>
      </c>
      <c r="I363" s="18" t="n">
        <v>0</v>
      </c>
      <c r="J363" s="18" t="n">
        <v>4</v>
      </c>
      <c r="K363" s="18" t="n">
        <v>338</v>
      </c>
      <c r="L363" s="18" t="n">
        <v>425</v>
      </c>
      <c r="M363" s="18" t="n">
        <v>383</v>
      </c>
      <c r="N363" s="18" t="n">
        <v>371</v>
      </c>
      <c r="O363" s="18" t="n">
        <v>395</v>
      </c>
      <c r="P363" s="18" t="n">
        <v>372</v>
      </c>
      <c r="Q363" s="18" t="n">
        <v>34</v>
      </c>
      <c r="R363" s="18" t="n">
        <v>43</v>
      </c>
      <c r="S363" s="18" t="n">
        <v>39</v>
      </c>
      <c r="T363" s="18" t="n">
        <v>38</v>
      </c>
      <c r="U363" s="18" t="n">
        <v>40</v>
      </c>
      <c r="V363" s="18" t="n">
        <v>38</v>
      </c>
      <c r="W363" s="20" t="n"/>
      <c r="X363" s="20" t="n"/>
      <c r="Y363" s="20" t="n"/>
      <c r="Z363" s="20" t="n"/>
      <c r="AA363" s="20" t="n"/>
      <c r="AB363" s="20" t="n"/>
      <c r="AC363" s="21">
        <f>IF(W363="","",W363-K363)</f>
        <v/>
      </c>
      <c r="AD363" s="21">
        <f>IF(X363="","",X363-L363)</f>
        <v/>
      </c>
      <c r="AE363" s="21">
        <f>IF(Y363="","",Y363-M363)</f>
        <v/>
      </c>
      <c r="AF363" s="21">
        <f>IF(Z363="","",Z363-N363)</f>
        <v/>
      </c>
      <c r="AG363" s="21">
        <f>IF(AA363="","",AA363-O363)</f>
        <v/>
      </c>
      <c r="AH363" s="21">
        <f>IF(AB363="","",AB363-P363)</f>
        <v/>
      </c>
      <c r="AI363" s="18">
        <f>IF(COUNTA(W363:AB363)=0,"未入力",IF(COUNTA(W363:AB363)&lt;6,"一部入力",IF(COUNTIF(AC363:AH363,0)=6,"一致","差分あり")))</f>
        <v/>
      </c>
      <c r="AJ3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3" s="19" t="inlineStr"/>
      <c r="AL363" s="18" t="inlineStr">
        <is>
          <t>2026-06-29</t>
        </is>
      </c>
    </row>
    <row r="364" ht="22" customHeight="1">
      <c r="A364" s="17" t="inlineStr">
        <is>
          <t>1004503-LB4</t>
        </is>
      </c>
      <c r="B364" s="18" t="n">
        <v>1004503</v>
      </c>
      <c r="C364" s="17" t="inlineStr">
        <is>
          <t>HOgasawara03</t>
        </is>
      </c>
      <c r="D364" s="17" t="inlineStr">
        <is>
          <t>HOgasawara</t>
        </is>
      </c>
      <c r="E364" s="17" t="inlineStr">
        <is>
          <t>小笠原 緋雨</t>
        </is>
      </c>
      <c r="F364" s="19" t="inlineStr">
        <is>
          <t>朧月夜のバレット</t>
        </is>
      </c>
      <c r="G364" s="18" t="inlineStr">
        <is>
          <t>SS</t>
        </is>
      </c>
      <c r="H364" s="17" t="inlineStr">
        <is>
          <t>Breaker</t>
        </is>
      </c>
      <c r="I364" s="18" t="n">
        <v>4</v>
      </c>
      <c r="J364" s="18" t="n">
        <v>4</v>
      </c>
      <c r="K364" s="18" t="n">
        <v>424</v>
      </c>
      <c r="L364" s="18" t="n">
        <v>516</v>
      </c>
      <c r="M364" s="18" t="n">
        <v>472</v>
      </c>
      <c r="N364" s="18" t="n">
        <v>461</v>
      </c>
      <c r="O364" s="18" t="n">
        <v>483</v>
      </c>
      <c r="P364" s="18" t="n">
        <v>459</v>
      </c>
      <c r="Q364" s="18" t="n">
        <v>43</v>
      </c>
      <c r="R364" s="18" t="n">
        <v>52</v>
      </c>
      <c r="S364" s="18" t="n">
        <v>48</v>
      </c>
      <c r="T364" s="18" t="n">
        <v>47</v>
      </c>
      <c r="U364" s="18" t="n">
        <v>49</v>
      </c>
      <c r="V364" s="18" t="n">
        <v>46</v>
      </c>
      <c r="W364" s="20" t="n"/>
      <c r="X364" s="20" t="n"/>
      <c r="Y364" s="20" t="n"/>
      <c r="Z364" s="20" t="n"/>
      <c r="AA364" s="20" t="n"/>
      <c r="AB364" s="20" t="n"/>
      <c r="AC364" s="21">
        <f>IF(W364="","",W364-K364)</f>
        <v/>
      </c>
      <c r="AD364" s="21">
        <f>IF(X364="","",X364-L364)</f>
        <v/>
      </c>
      <c r="AE364" s="21">
        <f>IF(Y364="","",Y364-M364)</f>
        <v/>
      </c>
      <c r="AF364" s="21">
        <f>IF(Z364="","",Z364-N364)</f>
        <v/>
      </c>
      <c r="AG364" s="21">
        <f>IF(AA364="","",AA364-O364)</f>
        <v/>
      </c>
      <c r="AH364" s="21">
        <f>IF(AB364="","",AB364-P364)</f>
        <v/>
      </c>
      <c r="AI364" s="18">
        <f>IF(COUNTA(W364:AB364)=0,"未入力",IF(COUNTA(W364:AB364)&lt;6,"一部入力",IF(COUNTIF(AC364:AH364,0)=6,"一致","差分あり")))</f>
        <v/>
      </c>
      <c r="AJ3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4" s="19" t="inlineStr"/>
      <c r="AL364" s="18" t="inlineStr">
        <is>
          <t>2026-06-29</t>
        </is>
      </c>
    </row>
    <row r="365" ht="22" customHeight="1">
      <c r="A365" s="17" t="inlineStr">
        <is>
          <t>1004504-LB0</t>
        </is>
      </c>
      <c r="B365" s="18" t="n">
        <v>1004504</v>
      </c>
      <c r="C365" s="17" t="inlineStr">
        <is>
          <t>HOgasawara04</t>
        </is>
      </c>
      <c r="D365" s="17" t="inlineStr">
        <is>
          <t>HOgasawara</t>
        </is>
      </c>
      <c r="E365" s="17" t="inlineStr">
        <is>
          <t>小笠原 緋雨</t>
        </is>
      </c>
      <c r="F365" s="19" t="inlineStr">
        <is>
          <t>萌えよ天才剣士</t>
        </is>
      </c>
      <c r="G365" s="18" t="inlineStr">
        <is>
          <t>SS</t>
        </is>
      </c>
      <c r="H365" s="17" t="inlineStr">
        <is>
          <t>Attacker</t>
        </is>
      </c>
      <c r="I365" s="18" t="n">
        <v>0</v>
      </c>
      <c r="J365" s="18" t="n">
        <v>4</v>
      </c>
      <c r="K365" s="18" t="n">
        <v>428</v>
      </c>
      <c r="L365" s="18" t="n">
        <v>376</v>
      </c>
      <c r="M365" s="18" t="n">
        <v>392</v>
      </c>
      <c r="N365" s="18" t="n">
        <v>407</v>
      </c>
      <c r="O365" s="18" t="n">
        <v>404</v>
      </c>
      <c r="P365" s="18" t="n">
        <v>407</v>
      </c>
      <c r="Q365" s="18" t="n">
        <v>43</v>
      </c>
      <c r="R365" s="18" t="n">
        <v>38</v>
      </c>
      <c r="S365" s="18" t="n">
        <v>40</v>
      </c>
      <c r="T365" s="18" t="n">
        <v>41</v>
      </c>
      <c r="U365" s="18" t="n">
        <v>41</v>
      </c>
      <c r="V365" s="18" t="n">
        <v>41</v>
      </c>
      <c r="W365" s="20" t="n"/>
      <c r="X365" s="20" t="n"/>
      <c r="Y365" s="20" t="n"/>
      <c r="Z365" s="20" t="n"/>
      <c r="AA365" s="20" t="n"/>
      <c r="AB365" s="20" t="n"/>
      <c r="AC365" s="21">
        <f>IF(W365="","",W365-K365)</f>
        <v/>
      </c>
      <c r="AD365" s="21">
        <f>IF(X365="","",X365-L365)</f>
        <v/>
      </c>
      <c r="AE365" s="21">
        <f>IF(Y365="","",Y365-M365)</f>
        <v/>
      </c>
      <c r="AF365" s="21">
        <f>IF(Z365="","",Z365-N365)</f>
        <v/>
      </c>
      <c r="AG365" s="21">
        <f>IF(AA365="","",AA365-O365)</f>
        <v/>
      </c>
      <c r="AH365" s="21">
        <f>IF(AB365="","",AB365-P365)</f>
        <v/>
      </c>
      <c r="AI365" s="18">
        <f>IF(COUNTA(W365:AB365)=0,"未入力",IF(COUNTA(W365:AB365)&lt;6,"一部入力",IF(COUNTIF(AC365:AH365,0)=6,"一致","差分あり")))</f>
        <v/>
      </c>
      <c r="AJ3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5" s="19" t="inlineStr"/>
      <c r="AL365" s="18" t="inlineStr">
        <is>
          <t>2026-06-29</t>
        </is>
      </c>
    </row>
    <row r="366" ht="22" customHeight="1">
      <c r="A366" s="17" t="inlineStr">
        <is>
          <t>1004504-LB4</t>
        </is>
      </c>
      <c r="B366" s="18" t="n">
        <v>1004504</v>
      </c>
      <c r="C366" s="17" t="inlineStr">
        <is>
          <t>HOgasawara04</t>
        </is>
      </c>
      <c r="D366" s="17" t="inlineStr">
        <is>
          <t>HOgasawara</t>
        </is>
      </c>
      <c r="E366" s="17" t="inlineStr">
        <is>
          <t>小笠原 緋雨</t>
        </is>
      </c>
      <c r="F366" s="19" t="inlineStr">
        <is>
          <t>萌えよ天才剣士</t>
        </is>
      </c>
      <c r="G366" s="18" t="inlineStr">
        <is>
          <t>SS</t>
        </is>
      </c>
      <c r="H366" s="17" t="inlineStr">
        <is>
          <t>Attacker</t>
        </is>
      </c>
      <c r="I366" s="18" t="n">
        <v>4</v>
      </c>
      <c r="J366" s="18" t="n">
        <v>4</v>
      </c>
      <c r="K366" s="18" t="n">
        <v>515</v>
      </c>
      <c r="L366" s="18" t="n">
        <v>467</v>
      </c>
      <c r="M366" s="18" t="n">
        <v>481</v>
      </c>
      <c r="N366" s="18" t="n">
        <v>497</v>
      </c>
      <c r="O366" s="18" t="n">
        <v>493</v>
      </c>
      <c r="P366" s="18" t="n">
        <v>493</v>
      </c>
      <c r="Q366" s="18" t="n">
        <v>52</v>
      </c>
      <c r="R366" s="18" t="n">
        <v>47</v>
      </c>
      <c r="S366" s="18" t="n">
        <v>49</v>
      </c>
      <c r="T366" s="18" t="n">
        <v>50</v>
      </c>
      <c r="U366" s="18" t="n">
        <v>50</v>
      </c>
      <c r="V366" s="18" t="n">
        <v>50</v>
      </c>
      <c r="W366" s="20" t="n"/>
      <c r="X366" s="20" t="n"/>
      <c r="Y366" s="20" t="n"/>
      <c r="Z366" s="20" t="n"/>
      <c r="AA366" s="20" t="n"/>
      <c r="AB366" s="20" t="n"/>
      <c r="AC366" s="21">
        <f>IF(W366="","",W366-K366)</f>
        <v/>
      </c>
      <c r="AD366" s="21">
        <f>IF(X366="","",X366-L366)</f>
        <v/>
      </c>
      <c r="AE366" s="21">
        <f>IF(Y366="","",Y366-M366)</f>
        <v/>
      </c>
      <c r="AF366" s="21">
        <f>IF(Z366="","",Z366-N366)</f>
        <v/>
      </c>
      <c r="AG366" s="21">
        <f>IF(AA366="","",AA366-O366)</f>
        <v/>
      </c>
      <c r="AH366" s="21">
        <f>IF(AB366="","",AB366-P366)</f>
        <v/>
      </c>
      <c r="AI366" s="18">
        <f>IF(COUNTA(W366:AB366)=0,"未入力",IF(COUNTA(W366:AB366)&lt;6,"一部入力",IF(COUNTIF(AC366:AH366,0)=6,"一致","差分あり")))</f>
        <v/>
      </c>
      <c r="AJ3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6" s="19" t="inlineStr"/>
      <c r="AL366" s="18" t="inlineStr">
        <is>
          <t>2026-06-29</t>
        </is>
      </c>
    </row>
    <row r="367" ht="22" customHeight="1">
      <c r="A367" s="17" t="inlineStr">
        <is>
          <t>1004505-LB0</t>
        </is>
      </c>
      <c r="B367" s="18" t="n">
        <v>1004505</v>
      </c>
      <c r="C367" s="17" t="inlineStr">
        <is>
          <t>HOgasawara05</t>
        </is>
      </c>
      <c r="D367" s="17" t="inlineStr">
        <is>
          <t>HOgasawara</t>
        </is>
      </c>
      <c r="E367" s="17" t="inlineStr">
        <is>
          <t>小笠原 緋雨</t>
        </is>
      </c>
      <c r="F367" s="19" t="inlineStr">
        <is>
          <t>希求と渇仰</t>
        </is>
      </c>
      <c r="G367" s="18" t="inlineStr">
        <is>
          <t>SS</t>
        </is>
      </c>
      <c r="H367" s="17" t="inlineStr">
        <is>
          <t>Breaker</t>
        </is>
      </c>
      <c r="I367" s="18" t="n">
        <v>0</v>
      </c>
      <c r="J367" s="18" t="n">
        <v>4</v>
      </c>
      <c r="K367" s="18" t="n">
        <v>359</v>
      </c>
      <c r="L367" s="18" t="n">
        <v>448</v>
      </c>
      <c r="M367" s="18" t="n">
        <v>405</v>
      </c>
      <c r="N367" s="18" t="n">
        <v>394</v>
      </c>
      <c r="O367" s="18" t="n">
        <v>417</v>
      </c>
      <c r="P367" s="18" t="n">
        <v>394</v>
      </c>
      <c r="Q367" s="18" t="n">
        <v>36</v>
      </c>
      <c r="R367" s="18" t="n">
        <v>45</v>
      </c>
      <c r="S367" s="18" t="n">
        <v>41</v>
      </c>
      <c r="T367" s="18" t="n">
        <v>40</v>
      </c>
      <c r="U367" s="18" t="n">
        <v>42</v>
      </c>
      <c r="V367" s="18" t="n">
        <v>40</v>
      </c>
      <c r="W367" s="20" t="n"/>
      <c r="X367" s="20" t="n"/>
      <c r="Y367" s="20" t="n"/>
      <c r="Z367" s="20" t="n"/>
      <c r="AA367" s="20" t="n"/>
      <c r="AB367" s="20" t="n"/>
      <c r="AC367" s="21">
        <f>IF(W367="","",W367-K367)</f>
        <v/>
      </c>
      <c r="AD367" s="21">
        <f>IF(X367="","",X367-L367)</f>
        <v/>
      </c>
      <c r="AE367" s="21">
        <f>IF(Y367="","",Y367-M367)</f>
        <v/>
      </c>
      <c r="AF367" s="21">
        <f>IF(Z367="","",Z367-N367)</f>
        <v/>
      </c>
      <c r="AG367" s="21">
        <f>IF(AA367="","",AA367-O367)</f>
        <v/>
      </c>
      <c r="AH367" s="21">
        <f>IF(AB367="","",AB367-P367)</f>
        <v/>
      </c>
      <c r="AI367" s="18">
        <f>IF(COUNTA(W367:AB367)=0,"未入力",IF(COUNTA(W367:AB367)&lt;6,"一部入力",IF(COUNTIF(AC367:AH367,0)=6,"一致","差分あり")))</f>
        <v/>
      </c>
      <c r="AJ3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7" s="19" t="inlineStr"/>
      <c r="AL367" s="18" t="inlineStr">
        <is>
          <t>2026-06-29</t>
        </is>
      </c>
    </row>
    <row r="368" ht="22" customHeight="1">
      <c r="A368" s="17" t="inlineStr">
        <is>
          <t>1004505-LB4</t>
        </is>
      </c>
      <c r="B368" s="18" t="n">
        <v>1004505</v>
      </c>
      <c r="C368" s="17" t="inlineStr">
        <is>
          <t>HOgasawara05</t>
        </is>
      </c>
      <c r="D368" s="17" t="inlineStr">
        <is>
          <t>HOgasawara</t>
        </is>
      </c>
      <c r="E368" s="17" t="inlineStr">
        <is>
          <t>小笠原 緋雨</t>
        </is>
      </c>
      <c r="F368" s="19" t="inlineStr">
        <is>
          <t>希求と渇仰</t>
        </is>
      </c>
      <c r="G368" s="18" t="inlineStr">
        <is>
          <t>SS</t>
        </is>
      </c>
      <c r="H368" s="17" t="inlineStr">
        <is>
          <t>Breaker</t>
        </is>
      </c>
      <c r="I368" s="18" t="n">
        <v>4</v>
      </c>
      <c r="J368" s="18" t="n">
        <v>4</v>
      </c>
      <c r="K368" s="18" t="n">
        <v>446</v>
      </c>
      <c r="L368" s="18" t="n">
        <v>539</v>
      </c>
      <c r="M368" s="18" t="n">
        <v>495</v>
      </c>
      <c r="N368" s="18" t="n">
        <v>483</v>
      </c>
      <c r="O368" s="18" t="n">
        <v>506</v>
      </c>
      <c r="P368" s="18" t="n">
        <v>480</v>
      </c>
      <c r="Q368" s="18" t="n">
        <v>45</v>
      </c>
      <c r="R368" s="18" t="n">
        <v>54</v>
      </c>
      <c r="S368" s="18" t="n">
        <v>50</v>
      </c>
      <c r="T368" s="18" t="n">
        <v>49</v>
      </c>
      <c r="U368" s="18" t="n">
        <v>51</v>
      </c>
      <c r="V368" s="18" t="n">
        <v>48</v>
      </c>
      <c r="W368" s="20" t="n"/>
      <c r="X368" s="20" t="n"/>
      <c r="Y368" s="20" t="n"/>
      <c r="Z368" s="20" t="n"/>
      <c r="AA368" s="20" t="n"/>
      <c r="AB368" s="20" t="n"/>
      <c r="AC368" s="21">
        <f>IF(W368="","",W368-K368)</f>
        <v/>
      </c>
      <c r="AD368" s="21">
        <f>IF(X368="","",X368-L368)</f>
        <v/>
      </c>
      <c r="AE368" s="21">
        <f>IF(Y368="","",Y368-M368)</f>
        <v/>
      </c>
      <c r="AF368" s="21">
        <f>IF(Z368="","",Z368-N368)</f>
        <v/>
      </c>
      <c r="AG368" s="21">
        <f>IF(AA368="","",AA368-O368)</f>
        <v/>
      </c>
      <c r="AH368" s="21">
        <f>IF(AB368="","",AB368-P368)</f>
        <v/>
      </c>
      <c r="AI368" s="18">
        <f>IF(COUNTA(W368:AB368)=0,"未入力",IF(COUNTA(W368:AB368)&lt;6,"一部入力",IF(COUNTIF(AC368:AH368,0)=6,"一致","差分あり")))</f>
        <v/>
      </c>
      <c r="AJ3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8" s="19" t="inlineStr"/>
      <c r="AL368" s="18" t="inlineStr">
        <is>
          <t>2026-06-29</t>
        </is>
      </c>
    </row>
    <row r="369" ht="22" customHeight="1">
      <c r="A369" s="17" t="inlineStr">
        <is>
          <t>1004506-LB0</t>
        </is>
      </c>
      <c r="B369" s="18" t="n">
        <v>1004506</v>
      </c>
      <c r="C369" s="17" t="inlineStr">
        <is>
          <t>HOgasawara06</t>
        </is>
      </c>
      <c r="D369" s="17" t="inlineStr">
        <is>
          <t>HOgasawara</t>
        </is>
      </c>
      <c r="E369" s="17" t="inlineStr">
        <is>
          <t>小笠原 緋雨</t>
        </is>
      </c>
      <c r="F369" s="19" t="inlineStr">
        <is>
          <t>早暁の剣光</t>
        </is>
      </c>
      <c r="G369" s="18" t="inlineStr">
        <is>
          <t>S</t>
        </is>
      </c>
      <c r="H369" s="17" t="inlineStr">
        <is>
          <t>Breaker</t>
        </is>
      </c>
      <c r="I369" s="18" t="n">
        <v>0</v>
      </c>
      <c r="J369" s="18" t="n">
        <v>10</v>
      </c>
      <c r="K369" s="18" t="n">
        <v>302</v>
      </c>
      <c r="L369" s="18" t="n">
        <v>362</v>
      </c>
      <c r="M369" s="18" t="n">
        <v>323</v>
      </c>
      <c r="N369" s="18" t="n">
        <v>313</v>
      </c>
      <c r="O369" s="18" t="n">
        <v>354</v>
      </c>
      <c r="P369" s="18" t="n">
        <v>313</v>
      </c>
      <c r="Q369" s="18" t="n">
        <v>31</v>
      </c>
      <c r="R369" s="18" t="n">
        <v>37</v>
      </c>
      <c r="S369" s="18" t="n">
        <v>33</v>
      </c>
      <c r="T369" s="18" t="n">
        <v>32</v>
      </c>
      <c r="U369" s="18" t="n">
        <v>36</v>
      </c>
      <c r="V369" s="18" t="n">
        <v>32</v>
      </c>
      <c r="W369" s="20" t="n"/>
      <c r="X369" s="20" t="n"/>
      <c r="Y369" s="20" t="n"/>
      <c r="Z369" s="20" t="n"/>
      <c r="AA369" s="20" t="n"/>
      <c r="AB369" s="20" t="n"/>
      <c r="AC369" s="21">
        <f>IF(W369="","",W369-K369)</f>
        <v/>
      </c>
      <c r="AD369" s="21">
        <f>IF(X369="","",X369-L369)</f>
        <v/>
      </c>
      <c r="AE369" s="21">
        <f>IF(Y369="","",Y369-M369)</f>
        <v/>
      </c>
      <c r="AF369" s="21">
        <f>IF(Z369="","",Z369-N369)</f>
        <v/>
      </c>
      <c r="AG369" s="21">
        <f>IF(AA369="","",AA369-O369)</f>
        <v/>
      </c>
      <c r="AH369" s="21">
        <f>IF(AB369="","",AB369-P369)</f>
        <v/>
      </c>
      <c r="AI369" s="18">
        <f>IF(COUNTA(W369:AB369)=0,"未入力",IF(COUNTA(W369:AB369)&lt;6,"一部入力",IF(COUNTIF(AC369:AH369,0)=6,"一致","差分あり")))</f>
        <v/>
      </c>
      <c r="AJ3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69" s="19" t="inlineStr"/>
      <c r="AL369" s="18" t="inlineStr">
        <is>
          <t>2026-06-29</t>
        </is>
      </c>
    </row>
    <row r="370" ht="22" customHeight="1">
      <c r="A370" s="17" t="inlineStr">
        <is>
          <t>1004506-LB10</t>
        </is>
      </c>
      <c r="B370" s="18" t="n">
        <v>1004506</v>
      </c>
      <c r="C370" s="17" t="inlineStr">
        <is>
          <t>HOgasawara06</t>
        </is>
      </c>
      <c r="D370" s="17" t="inlineStr">
        <is>
          <t>HOgasawara</t>
        </is>
      </c>
      <c r="E370" s="17" t="inlineStr">
        <is>
          <t>小笠原 緋雨</t>
        </is>
      </c>
      <c r="F370" s="19" t="inlineStr">
        <is>
          <t>早暁の剣光</t>
        </is>
      </c>
      <c r="G370" s="18" t="inlineStr">
        <is>
          <t>S</t>
        </is>
      </c>
      <c r="H370" s="17" t="inlineStr">
        <is>
          <t>Breaker</t>
        </is>
      </c>
      <c r="I370" s="18" t="n">
        <v>10</v>
      </c>
      <c r="J370" s="18" t="n">
        <v>10</v>
      </c>
      <c r="K370" s="18" t="n">
        <v>367</v>
      </c>
      <c r="L370" s="18" t="n">
        <v>430</v>
      </c>
      <c r="M370" s="18" t="n">
        <v>389</v>
      </c>
      <c r="N370" s="18" t="n">
        <v>380</v>
      </c>
      <c r="O370" s="18" t="n">
        <v>421</v>
      </c>
      <c r="P370" s="18" t="n">
        <v>378</v>
      </c>
      <c r="Q370" s="18" t="n">
        <v>37</v>
      </c>
      <c r="R370" s="18" t="n">
        <v>43</v>
      </c>
      <c r="S370" s="18" t="n">
        <v>39</v>
      </c>
      <c r="T370" s="18" t="n">
        <v>38</v>
      </c>
      <c r="U370" s="18" t="n">
        <v>43</v>
      </c>
      <c r="V370" s="18" t="n">
        <v>38</v>
      </c>
      <c r="W370" s="20" t="n"/>
      <c r="X370" s="20" t="n"/>
      <c r="Y370" s="20" t="n"/>
      <c r="Z370" s="20" t="n"/>
      <c r="AA370" s="20" t="n"/>
      <c r="AB370" s="20" t="n"/>
      <c r="AC370" s="21">
        <f>IF(W370="","",W370-K370)</f>
        <v/>
      </c>
      <c r="AD370" s="21">
        <f>IF(X370="","",X370-L370)</f>
        <v/>
      </c>
      <c r="AE370" s="21">
        <f>IF(Y370="","",Y370-M370)</f>
        <v/>
      </c>
      <c r="AF370" s="21">
        <f>IF(Z370="","",Z370-N370)</f>
        <v/>
      </c>
      <c r="AG370" s="21">
        <f>IF(AA370="","",AA370-O370)</f>
        <v/>
      </c>
      <c r="AH370" s="21">
        <f>IF(AB370="","",AB370-P370)</f>
        <v/>
      </c>
      <c r="AI370" s="18">
        <f>IF(COUNTA(W370:AB370)=0,"未入力",IF(COUNTA(W370:AB370)&lt;6,"一部入力",IF(COUNTIF(AC370:AH370,0)=6,"一致","差分あり")))</f>
        <v/>
      </c>
      <c r="AJ3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0" s="19" t="inlineStr"/>
      <c r="AL370" s="18" t="inlineStr">
        <is>
          <t>2026-06-29</t>
        </is>
      </c>
    </row>
    <row r="371" ht="22" customHeight="1">
      <c r="A371" s="17" t="inlineStr">
        <is>
          <t>1004507-LB0</t>
        </is>
      </c>
      <c r="B371" s="18" t="n">
        <v>1004507</v>
      </c>
      <c r="C371" s="17" t="inlineStr">
        <is>
          <t>HOgasawara07</t>
        </is>
      </c>
      <c r="D371" s="17" t="inlineStr">
        <is>
          <t>HOgasawara</t>
        </is>
      </c>
      <c r="E371" s="17" t="inlineStr">
        <is>
          <t>小笠原 緋雨</t>
        </is>
      </c>
      <c r="F371" s="19" t="inlineStr">
        <is>
          <t>夏宵色のガーネット</t>
        </is>
      </c>
      <c r="G371" s="18" t="inlineStr">
        <is>
          <t>SS</t>
        </is>
      </c>
      <c r="H371" s="17" t="inlineStr">
        <is>
          <t>Debuffer</t>
        </is>
      </c>
      <c r="I371" s="18" t="n">
        <v>0</v>
      </c>
      <c r="J371" s="18" t="n">
        <v>4</v>
      </c>
      <c r="K371" s="18" t="n">
        <v>394</v>
      </c>
      <c r="L371" s="18" t="n">
        <v>412</v>
      </c>
      <c r="M371" s="18" t="n">
        <v>441</v>
      </c>
      <c r="N371" s="18" t="n">
        <v>420</v>
      </c>
      <c r="O371" s="18" t="n">
        <v>391</v>
      </c>
      <c r="P371" s="18" t="n">
        <v>359</v>
      </c>
      <c r="Q371" s="18" t="n">
        <v>40</v>
      </c>
      <c r="R371" s="18" t="n">
        <v>42</v>
      </c>
      <c r="S371" s="18" t="n">
        <v>45</v>
      </c>
      <c r="T371" s="18" t="n">
        <v>42</v>
      </c>
      <c r="U371" s="18" t="n">
        <v>40</v>
      </c>
      <c r="V371" s="18" t="n">
        <v>36</v>
      </c>
      <c r="W371" s="20" t="n"/>
      <c r="X371" s="20" t="n"/>
      <c r="Y371" s="20" t="n"/>
      <c r="Z371" s="20" t="n"/>
      <c r="AA371" s="20" t="n"/>
      <c r="AB371" s="20" t="n"/>
      <c r="AC371" s="21">
        <f>IF(W371="","",W371-K371)</f>
        <v/>
      </c>
      <c r="AD371" s="21">
        <f>IF(X371="","",X371-L371)</f>
        <v/>
      </c>
      <c r="AE371" s="21">
        <f>IF(Y371="","",Y371-M371)</f>
        <v/>
      </c>
      <c r="AF371" s="21">
        <f>IF(Z371="","",Z371-N371)</f>
        <v/>
      </c>
      <c r="AG371" s="21">
        <f>IF(AA371="","",AA371-O371)</f>
        <v/>
      </c>
      <c r="AH371" s="21">
        <f>IF(AB371="","",AB371-P371)</f>
        <v/>
      </c>
      <c r="AI371" s="18">
        <f>IF(COUNTA(W371:AB371)=0,"未入力",IF(COUNTA(W371:AB371)&lt;6,"一部入力",IF(COUNTIF(AC371:AH371,0)=6,"一致","差分あり")))</f>
        <v/>
      </c>
      <c r="AJ3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1" s="19" t="inlineStr"/>
      <c r="AL371" s="18" t="inlineStr">
        <is>
          <t>2026-06-29</t>
        </is>
      </c>
    </row>
    <row r="372" ht="22" customHeight="1">
      <c r="A372" s="17" t="inlineStr">
        <is>
          <t>1004507-LB4</t>
        </is>
      </c>
      <c r="B372" s="18" t="n">
        <v>1004507</v>
      </c>
      <c r="C372" s="17" t="inlineStr">
        <is>
          <t>HOgasawara07</t>
        </is>
      </c>
      <c r="D372" s="17" t="inlineStr">
        <is>
          <t>HOgasawara</t>
        </is>
      </c>
      <c r="E372" s="17" t="inlineStr">
        <is>
          <t>小笠原 緋雨</t>
        </is>
      </c>
      <c r="F372" s="19" t="inlineStr">
        <is>
          <t>夏宵色のガーネット</t>
        </is>
      </c>
      <c r="G372" s="18" t="inlineStr">
        <is>
          <t>SS</t>
        </is>
      </c>
      <c r="H372" s="17" t="inlineStr">
        <is>
          <t>Debuffer</t>
        </is>
      </c>
      <c r="I372" s="18" t="n">
        <v>4</v>
      </c>
      <c r="J372" s="18" t="n">
        <v>4</v>
      </c>
      <c r="K372" s="18" t="n">
        <v>480</v>
      </c>
      <c r="L372" s="18" t="n">
        <v>503</v>
      </c>
      <c r="M372" s="18" t="n">
        <v>530</v>
      </c>
      <c r="N372" s="18" t="n">
        <v>510</v>
      </c>
      <c r="O372" s="18" t="n">
        <v>479</v>
      </c>
      <c r="P372" s="18" t="n">
        <v>446</v>
      </c>
      <c r="Q372" s="18" t="n">
        <v>48</v>
      </c>
      <c r="R372" s="18" t="n">
        <v>51</v>
      </c>
      <c r="S372" s="18" t="n">
        <v>53</v>
      </c>
      <c r="T372" s="18" t="n">
        <v>51</v>
      </c>
      <c r="U372" s="18" t="n">
        <v>48</v>
      </c>
      <c r="V372" s="18" t="n">
        <v>45</v>
      </c>
      <c r="W372" s="20" t="n"/>
      <c r="X372" s="20" t="n"/>
      <c r="Y372" s="20" t="n"/>
      <c r="Z372" s="20" t="n"/>
      <c r="AA372" s="20" t="n"/>
      <c r="AB372" s="20" t="n"/>
      <c r="AC372" s="21">
        <f>IF(W372="","",W372-K372)</f>
        <v/>
      </c>
      <c r="AD372" s="21">
        <f>IF(X372="","",X372-L372)</f>
        <v/>
      </c>
      <c r="AE372" s="21">
        <f>IF(Y372="","",Y372-M372)</f>
        <v/>
      </c>
      <c r="AF372" s="21">
        <f>IF(Z372="","",Z372-N372)</f>
        <v/>
      </c>
      <c r="AG372" s="21">
        <f>IF(AA372="","",AA372-O372)</f>
        <v/>
      </c>
      <c r="AH372" s="21">
        <f>IF(AB372="","",AB372-P372)</f>
        <v/>
      </c>
      <c r="AI372" s="18">
        <f>IF(COUNTA(W372:AB372)=0,"未入力",IF(COUNTA(W372:AB372)&lt;6,"一部入力",IF(COUNTIF(AC372:AH372,0)=6,"一致","差分あり")))</f>
        <v/>
      </c>
      <c r="AJ3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2" s="19" t="inlineStr"/>
      <c r="AL372" s="18" t="inlineStr">
        <is>
          <t>2026-06-29</t>
        </is>
      </c>
    </row>
    <row r="373" ht="22" customHeight="1">
      <c r="A373" s="17" t="inlineStr">
        <is>
          <t>1004508-LB0</t>
        </is>
      </c>
      <c r="B373" s="18" t="n">
        <v>1004508</v>
      </c>
      <c r="C373" s="17" t="inlineStr">
        <is>
          <t>HOgasawara08</t>
        </is>
      </c>
      <c r="D373" s="17" t="inlineStr">
        <is>
          <t>HOgasawara</t>
        </is>
      </c>
      <c r="E373" s="17" t="inlineStr">
        <is>
          <t>小笠原 緋雨</t>
        </is>
      </c>
      <c r="F373" s="19" t="inlineStr">
        <is>
          <t>天才に手ほどき</t>
        </is>
      </c>
      <c r="G373" s="18" t="inlineStr">
        <is>
          <t>S</t>
        </is>
      </c>
      <c r="H373" s="17" t="inlineStr">
        <is>
          <t>Healer</t>
        </is>
      </c>
      <c r="I373" s="18" t="n">
        <v>0</v>
      </c>
      <c r="J373" s="18" t="n">
        <v>10</v>
      </c>
      <c r="K373" s="18" t="n">
        <v>313</v>
      </c>
      <c r="L373" s="18" t="n">
        <v>328</v>
      </c>
      <c r="M373" s="18" t="n">
        <v>356</v>
      </c>
      <c r="N373" s="18" t="n">
        <v>357</v>
      </c>
      <c r="O373" s="18" t="n">
        <v>310</v>
      </c>
      <c r="P373" s="18" t="n">
        <v>302</v>
      </c>
      <c r="Q373" s="18" t="n">
        <v>32</v>
      </c>
      <c r="R373" s="18" t="n">
        <v>33</v>
      </c>
      <c r="S373" s="18" t="n">
        <v>36</v>
      </c>
      <c r="T373" s="18" t="n">
        <v>36</v>
      </c>
      <c r="U373" s="18" t="n">
        <v>31</v>
      </c>
      <c r="V373" s="18" t="n">
        <v>31</v>
      </c>
      <c r="W373" s="20" t="n"/>
      <c r="X373" s="20" t="n"/>
      <c r="Y373" s="20" t="n"/>
      <c r="Z373" s="20" t="n"/>
      <c r="AA373" s="20" t="n"/>
      <c r="AB373" s="20" t="n"/>
      <c r="AC373" s="21">
        <f>IF(W373="","",W373-K373)</f>
        <v/>
      </c>
      <c r="AD373" s="21">
        <f>IF(X373="","",X373-L373)</f>
        <v/>
      </c>
      <c r="AE373" s="21">
        <f>IF(Y373="","",Y373-M373)</f>
        <v/>
      </c>
      <c r="AF373" s="21">
        <f>IF(Z373="","",Z373-N373)</f>
        <v/>
      </c>
      <c r="AG373" s="21">
        <f>IF(AA373="","",AA373-O373)</f>
        <v/>
      </c>
      <c r="AH373" s="21">
        <f>IF(AB373="","",AB373-P373)</f>
        <v/>
      </c>
      <c r="AI373" s="18">
        <f>IF(COUNTA(W373:AB373)=0,"未入力",IF(COUNTA(W373:AB373)&lt;6,"一部入力",IF(COUNTIF(AC373:AH373,0)=6,"一致","差分あり")))</f>
        <v/>
      </c>
      <c r="AJ3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3" s="19" t="inlineStr"/>
      <c r="AL373" s="18" t="inlineStr">
        <is>
          <t>2026-06-29</t>
        </is>
      </c>
    </row>
    <row r="374" ht="22" customHeight="1">
      <c r="A374" s="17" t="inlineStr">
        <is>
          <t>1004508-LB10</t>
        </is>
      </c>
      <c r="B374" s="18" t="n">
        <v>1004508</v>
      </c>
      <c r="C374" s="17" t="inlineStr">
        <is>
          <t>HOgasawara08</t>
        </is>
      </c>
      <c r="D374" s="17" t="inlineStr">
        <is>
          <t>HOgasawara</t>
        </is>
      </c>
      <c r="E374" s="17" t="inlineStr">
        <is>
          <t>小笠原 緋雨</t>
        </is>
      </c>
      <c r="F374" s="19" t="inlineStr">
        <is>
          <t>天才に手ほどき</t>
        </is>
      </c>
      <c r="G374" s="18" t="inlineStr">
        <is>
          <t>S</t>
        </is>
      </c>
      <c r="H374" s="17" t="inlineStr">
        <is>
          <t>Healer</t>
        </is>
      </c>
      <c r="I374" s="18" t="n">
        <v>10</v>
      </c>
      <c r="J374" s="18" t="n">
        <v>10</v>
      </c>
      <c r="K374" s="18" t="n">
        <v>378</v>
      </c>
      <c r="L374" s="18" t="n">
        <v>396</v>
      </c>
      <c r="M374" s="18" t="n">
        <v>423</v>
      </c>
      <c r="N374" s="18" t="n">
        <v>425</v>
      </c>
      <c r="O374" s="18" t="n">
        <v>377</v>
      </c>
      <c r="P374" s="18" t="n">
        <v>367</v>
      </c>
      <c r="Q374" s="18" t="n">
        <v>38</v>
      </c>
      <c r="R374" s="18" t="n">
        <v>40</v>
      </c>
      <c r="S374" s="18" t="n">
        <v>43</v>
      </c>
      <c r="T374" s="18" t="n">
        <v>43</v>
      </c>
      <c r="U374" s="18" t="n">
        <v>38</v>
      </c>
      <c r="V374" s="18" t="n">
        <v>37</v>
      </c>
      <c r="W374" s="20" t="n"/>
      <c r="X374" s="20" t="n"/>
      <c r="Y374" s="20" t="n"/>
      <c r="Z374" s="20" t="n"/>
      <c r="AA374" s="20" t="n"/>
      <c r="AB374" s="20" t="n"/>
      <c r="AC374" s="21">
        <f>IF(W374="","",W374-K374)</f>
        <v/>
      </c>
      <c r="AD374" s="21">
        <f>IF(X374="","",X374-L374)</f>
        <v/>
      </c>
      <c r="AE374" s="21">
        <f>IF(Y374="","",Y374-M374)</f>
        <v/>
      </c>
      <c r="AF374" s="21">
        <f>IF(Z374="","",Z374-N374)</f>
        <v/>
      </c>
      <c r="AG374" s="21">
        <f>IF(AA374="","",AA374-O374)</f>
        <v/>
      </c>
      <c r="AH374" s="21">
        <f>IF(AB374="","",AB374-P374)</f>
        <v/>
      </c>
      <c r="AI374" s="18">
        <f>IF(COUNTA(W374:AB374)=0,"未入力",IF(COUNTA(W374:AB374)&lt;6,"一部入力",IF(COUNTIF(AC374:AH374,0)=6,"一致","差分あり")))</f>
        <v/>
      </c>
      <c r="AJ3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4" s="19" t="inlineStr"/>
      <c r="AL374" s="18" t="inlineStr">
        <is>
          <t>2026-06-29</t>
        </is>
      </c>
    </row>
    <row r="375" ht="22" customHeight="1">
      <c r="A375" s="17" t="inlineStr">
        <is>
          <t>1004509-LB0</t>
        </is>
      </c>
      <c r="B375" s="18" t="n">
        <v>1004509</v>
      </c>
      <c r="C375" s="17" t="inlineStr">
        <is>
          <t>HOgasawara09</t>
        </is>
      </c>
      <c r="D375" s="17" t="inlineStr">
        <is>
          <t>HOgasawara</t>
        </is>
      </c>
      <c r="E375" s="17" t="inlineStr">
        <is>
          <t>小笠原 緋雨</t>
        </is>
      </c>
      <c r="F375" s="19" t="inlineStr">
        <is>
          <t>春色イースターバニー</t>
        </is>
      </c>
      <c r="G375" s="18" t="inlineStr">
        <is>
          <t>SSR</t>
        </is>
      </c>
      <c r="H375" s="17" t="inlineStr">
        <is>
          <t>Buffer</t>
        </is>
      </c>
      <c r="I375" s="18" t="n">
        <v>0</v>
      </c>
      <c r="J375" s="18" t="n">
        <v>4</v>
      </c>
      <c r="K375" s="18" t="n">
        <v>394</v>
      </c>
      <c r="L375" s="18" t="n">
        <v>412</v>
      </c>
      <c r="M375" s="18" t="n">
        <v>441</v>
      </c>
      <c r="N375" s="18" t="n">
        <v>420</v>
      </c>
      <c r="O375" s="18" t="n">
        <v>391</v>
      </c>
      <c r="P375" s="18" t="n">
        <v>359</v>
      </c>
      <c r="Q375" s="18" t="n">
        <v>40</v>
      </c>
      <c r="R375" s="18" t="n">
        <v>42</v>
      </c>
      <c r="S375" s="18" t="n">
        <v>45</v>
      </c>
      <c r="T375" s="18" t="n">
        <v>42</v>
      </c>
      <c r="U375" s="18" t="n">
        <v>40</v>
      </c>
      <c r="V375" s="18" t="n">
        <v>36</v>
      </c>
      <c r="W375" s="20" t="n"/>
      <c r="X375" s="20" t="n"/>
      <c r="Y375" s="20" t="n"/>
      <c r="Z375" s="20" t="n"/>
      <c r="AA375" s="20" t="n"/>
      <c r="AB375" s="20" t="n"/>
      <c r="AC375" s="21">
        <f>IF(W375="","",W375-K375)</f>
        <v/>
      </c>
      <c r="AD375" s="21">
        <f>IF(X375="","",X375-L375)</f>
        <v/>
      </c>
      <c r="AE375" s="21">
        <f>IF(Y375="","",Y375-M375)</f>
        <v/>
      </c>
      <c r="AF375" s="21">
        <f>IF(Z375="","",Z375-N375)</f>
        <v/>
      </c>
      <c r="AG375" s="21">
        <f>IF(AA375="","",AA375-O375)</f>
        <v/>
      </c>
      <c r="AH375" s="21">
        <f>IF(AB375="","",AB375-P375)</f>
        <v/>
      </c>
      <c r="AI375" s="18">
        <f>IF(COUNTA(W375:AB375)=0,"未入力",IF(COUNTA(W375:AB375)&lt;6,"一部入力",IF(COUNTIF(AC375:AH375,0)=6,"一致","差分あり")))</f>
        <v/>
      </c>
      <c r="AJ3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5" s="19" t="inlineStr"/>
      <c r="AL375" s="18" t="inlineStr">
        <is>
          <t>2026-06-29</t>
        </is>
      </c>
    </row>
    <row r="376" ht="22" customHeight="1">
      <c r="A376" s="17" t="inlineStr">
        <is>
          <t>1004509-LB4</t>
        </is>
      </c>
      <c r="B376" s="18" t="n">
        <v>1004509</v>
      </c>
      <c r="C376" s="17" t="inlineStr">
        <is>
          <t>HOgasawara09</t>
        </is>
      </c>
      <c r="D376" s="17" t="inlineStr">
        <is>
          <t>HOgasawara</t>
        </is>
      </c>
      <c r="E376" s="17" t="inlineStr">
        <is>
          <t>小笠原 緋雨</t>
        </is>
      </c>
      <c r="F376" s="19" t="inlineStr">
        <is>
          <t>春色イースターバニー</t>
        </is>
      </c>
      <c r="G376" s="18" t="inlineStr">
        <is>
          <t>SSR</t>
        </is>
      </c>
      <c r="H376" s="17" t="inlineStr">
        <is>
          <t>Buffer</t>
        </is>
      </c>
      <c r="I376" s="18" t="n">
        <v>4</v>
      </c>
      <c r="J376" s="18" t="n">
        <v>4</v>
      </c>
      <c r="K376" s="18" t="n">
        <v>480</v>
      </c>
      <c r="L376" s="18" t="n">
        <v>503</v>
      </c>
      <c r="M376" s="18" t="n">
        <v>530</v>
      </c>
      <c r="N376" s="18" t="n">
        <v>510</v>
      </c>
      <c r="O376" s="18" t="n">
        <v>479</v>
      </c>
      <c r="P376" s="18" t="n">
        <v>446</v>
      </c>
      <c r="Q376" s="18" t="n">
        <v>48</v>
      </c>
      <c r="R376" s="18" t="n">
        <v>51</v>
      </c>
      <c r="S376" s="18" t="n">
        <v>53</v>
      </c>
      <c r="T376" s="18" t="n">
        <v>51</v>
      </c>
      <c r="U376" s="18" t="n">
        <v>48</v>
      </c>
      <c r="V376" s="18" t="n">
        <v>45</v>
      </c>
      <c r="W376" s="20" t="n"/>
      <c r="X376" s="20" t="n"/>
      <c r="Y376" s="20" t="n"/>
      <c r="Z376" s="20" t="n"/>
      <c r="AA376" s="20" t="n"/>
      <c r="AB376" s="20" t="n"/>
      <c r="AC376" s="21">
        <f>IF(W376="","",W376-K376)</f>
        <v/>
      </c>
      <c r="AD376" s="21">
        <f>IF(X376="","",X376-L376)</f>
        <v/>
      </c>
      <c r="AE376" s="21">
        <f>IF(Y376="","",Y376-M376)</f>
        <v/>
      </c>
      <c r="AF376" s="21">
        <f>IF(Z376="","",Z376-N376)</f>
        <v/>
      </c>
      <c r="AG376" s="21">
        <f>IF(AA376="","",AA376-O376)</f>
        <v/>
      </c>
      <c r="AH376" s="21">
        <f>IF(AB376="","",AB376-P376)</f>
        <v/>
      </c>
      <c r="AI376" s="18">
        <f>IF(COUNTA(W376:AB376)=0,"未入力",IF(COUNTA(W376:AB376)&lt;6,"一部入力",IF(COUNTIF(AC376:AH376,0)=6,"一致","差分あり")))</f>
        <v/>
      </c>
      <c r="AJ3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6" s="19" t="inlineStr"/>
      <c r="AL376" s="18" t="inlineStr">
        <is>
          <t>2026-06-29</t>
        </is>
      </c>
    </row>
    <row r="377" ht="22" customHeight="1">
      <c r="A377" s="17" t="inlineStr">
        <is>
          <t>1004601-LB0</t>
        </is>
      </c>
      <c r="B377" s="18" t="n">
        <v>1004601</v>
      </c>
      <c r="C377" s="17" t="inlineStr">
        <is>
          <t>SKura01</t>
        </is>
      </c>
      <c r="D377" s="17" t="inlineStr">
        <is>
          <t>SKura</t>
        </is>
      </c>
      <c r="E377" s="17" t="inlineStr">
        <is>
          <t>蔵 里見</t>
        </is>
      </c>
      <c r="F377" s="19" t="inlineStr">
        <is>
          <t>きおい佳人</t>
        </is>
      </c>
      <c r="G377" s="18" t="inlineStr">
        <is>
          <t>A</t>
        </is>
      </c>
      <c r="H377" s="17" t="inlineStr">
        <is>
          <t>Blaster</t>
        </is>
      </c>
      <c r="I377" s="18" t="n">
        <v>0</v>
      </c>
      <c r="J377" s="18" t="n">
        <v>20</v>
      </c>
      <c r="K377" s="18" t="n">
        <v>287</v>
      </c>
      <c r="L377" s="18" t="n">
        <v>277</v>
      </c>
      <c r="M377" s="18" t="n">
        <v>289</v>
      </c>
      <c r="N377" s="18" t="n">
        <v>291</v>
      </c>
      <c r="O377" s="18" t="n">
        <v>241</v>
      </c>
      <c r="P377" s="18" t="n">
        <v>251</v>
      </c>
      <c r="Q377" s="18" t="n">
        <v>29</v>
      </c>
      <c r="R377" s="18" t="n">
        <v>28</v>
      </c>
      <c r="S377" s="18" t="n">
        <v>29</v>
      </c>
      <c r="T377" s="18" t="n">
        <v>30</v>
      </c>
      <c r="U377" s="18" t="n">
        <v>25</v>
      </c>
      <c r="V377" s="18" t="n">
        <v>26</v>
      </c>
      <c r="W377" s="20" t="n"/>
      <c r="X377" s="20" t="n"/>
      <c r="Y377" s="20" t="n"/>
      <c r="Z377" s="20" t="n"/>
      <c r="AA377" s="20" t="n"/>
      <c r="AB377" s="20" t="n"/>
      <c r="AC377" s="21">
        <f>IF(W377="","",W377-K377)</f>
        <v/>
      </c>
      <c r="AD377" s="21">
        <f>IF(X377="","",X377-L377)</f>
        <v/>
      </c>
      <c r="AE377" s="21">
        <f>IF(Y377="","",Y377-M377)</f>
        <v/>
      </c>
      <c r="AF377" s="21">
        <f>IF(Z377="","",Z377-N377)</f>
        <v/>
      </c>
      <c r="AG377" s="21">
        <f>IF(AA377="","",AA377-O377)</f>
        <v/>
      </c>
      <c r="AH377" s="21">
        <f>IF(AB377="","",AB377-P377)</f>
        <v/>
      </c>
      <c r="AI377" s="18">
        <f>IF(COUNTA(W377:AB377)=0,"未入力",IF(COUNTA(W377:AB377)&lt;6,"一部入力",IF(COUNTIF(AC377:AH377,0)=6,"一致","差分あり")))</f>
        <v/>
      </c>
      <c r="AJ3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7" s="19" t="inlineStr"/>
      <c r="AL377" s="18" t="inlineStr">
        <is>
          <t>2026-06-29</t>
        </is>
      </c>
    </row>
    <row r="378" ht="22" customHeight="1">
      <c r="A378" s="17" t="inlineStr">
        <is>
          <t>1004601-LB20</t>
        </is>
      </c>
      <c r="B378" s="18" t="n">
        <v>1004601</v>
      </c>
      <c r="C378" s="17" t="inlineStr">
        <is>
          <t>SKura01</t>
        </is>
      </c>
      <c r="D378" s="17" t="inlineStr">
        <is>
          <t>SKura</t>
        </is>
      </c>
      <c r="E378" s="17" t="inlineStr">
        <is>
          <t>蔵 里見</t>
        </is>
      </c>
      <c r="F378" s="19" t="inlineStr">
        <is>
          <t>きおい佳人</t>
        </is>
      </c>
      <c r="G378" s="18" t="inlineStr">
        <is>
          <t>A</t>
        </is>
      </c>
      <c r="H378" s="17" t="inlineStr">
        <is>
          <t>Blaster</t>
        </is>
      </c>
      <c r="I378" s="18" t="n">
        <v>20</v>
      </c>
      <c r="J378" s="18" t="n">
        <v>20</v>
      </c>
      <c r="K378" s="18" t="n">
        <v>332</v>
      </c>
      <c r="L378" s="18" t="n">
        <v>320</v>
      </c>
      <c r="M378" s="18" t="n">
        <v>334</v>
      </c>
      <c r="N378" s="18" t="n">
        <v>335</v>
      </c>
      <c r="O378" s="18" t="n">
        <v>284</v>
      </c>
      <c r="P378" s="18" t="n">
        <v>295</v>
      </c>
      <c r="Q378" s="18" t="n">
        <v>34</v>
      </c>
      <c r="R378" s="18" t="n">
        <v>32</v>
      </c>
      <c r="S378" s="18" t="n">
        <v>34</v>
      </c>
      <c r="T378" s="18" t="n">
        <v>34</v>
      </c>
      <c r="U378" s="18" t="n">
        <v>29</v>
      </c>
      <c r="V378" s="18" t="n">
        <v>30</v>
      </c>
      <c r="W378" s="20" t="n"/>
      <c r="X378" s="20" t="n"/>
      <c r="Y378" s="20" t="n"/>
      <c r="Z378" s="20" t="n"/>
      <c r="AA378" s="20" t="n"/>
      <c r="AB378" s="20" t="n"/>
      <c r="AC378" s="21">
        <f>IF(W378="","",W378-K378)</f>
        <v/>
      </c>
      <c r="AD378" s="21">
        <f>IF(X378="","",X378-L378)</f>
        <v/>
      </c>
      <c r="AE378" s="21">
        <f>IF(Y378="","",Y378-M378)</f>
        <v/>
      </c>
      <c r="AF378" s="21">
        <f>IF(Z378="","",Z378-N378)</f>
        <v/>
      </c>
      <c r="AG378" s="21">
        <f>IF(AA378="","",AA378-O378)</f>
        <v/>
      </c>
      <c r="AH378" s="21">
        <f>IF(AB378="","",AB378-P378)</f>
        <v/>
      </c>
      <c r="AI378" s="18">
        <f>IF(COUNTA(W378:AB378)=0,"未入力",IF(COUNTA(W378:AB378)&lt;6,"一部入力",IF(COUNTIF(AC378:AH378,0)=6,"一致","差分あり")))</f>
        <v/>
      </c>
      <c r="AJ3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8" s="19" t="inlineStr"/>
      <c r="AL378" s="18" t="inlineStr">
        <is>
          <t>2026-06-29</t>
        </is>
      </c>
    </row>
    <row r="379" ht="22" customHeight="1">
      <c r="A379" s="17" t="inlineStr">
        <is>
          <t>1004602-LB0</t>
        </is>
      </c>
      <c r="B379" s="18" t="n">
        <v>1004602</v>
      </c>
      <c r="C379" s="17" t="inlineStr">
        <is>
          <t>SKura02</t>
        </is>
      </c>
      <c r="D379" s="17" t="inlineStr">
        <is>
          <t>SKura</t>
        </is>
      </c>
      <c r="E379" s="17" t="inlineStr">
        <is>
          <t>蔵 里見</t>
        </is>
      </c>
      <c r="F379" s="19" t="inlineStr">
        <is>
          <t>清流に坐す</t>
        </is>
      </c>
      <c r="G379" s="18" t="inlineStr">
        <is>
          <t>S</t>
        </is>
      </c>
      <c r="H379" s="17" t="inlineStr">
        <is>
          <t>Blaster</t>
        </is>
      </c>
      <c r="I379" s="18" t="n">
        <v>0</v>
      </c>
      <c r="J379" s="18" t="n">
        <v>10</v>
      </c>
      <c r="K379" s="18" t="n">
        <v>356</v>
      </c>
      <c r="L379" s="18" t="n">
        <v>304</v>
      </c>
      <c r="M379" s="18" t="n">
        <v>306</v>
      </c>
      <c r="N379" s="18" t="n">
        <v>318</v>
      </c>
      <c r="O379" s="18" t="n">
        <v>310</v>
      </c>
      <c r="P379" s="18" t="n">
        <v>356</v>
      </c>
      <c r="Q379" s="18" t="n">
        <v>36</v>
      </c>
      <c r="R379" s="18" t="n">
        <v>31</v>
      </c>
      <c r="S379" s="18" t="n">
        <v>31</v>
      </c>
      <c r="T379" s="18" t="n">
        <v>32</v>
      </c>
      <c r="U379" s="18" t="n">
        <v>31</v>
      </c>
      <c r="V379" s="18" t="n">
        <v>36</v>
      </c>
      <c r="W379" s="20" t="n"/>
      <c r="X379" s="20" t="n"/>
      <c r="Y379" s="20" t="n"/>
      <c r="Z379" s="20" t="n"/>
      <c r="AA379" s="20" t="n"/>
      <c r="AB379" s="20" t="n"/>
      <c r="AC379" s="21">
        <f>IF(W379="","",W379-K379)</f>
        <v/>
      </c>
      <c r="AD379" s="21">
        <f>IF(X379="","",X379-L379)</f>
        <v/>
      </c>
      <c r="AE379" s="21">
        <f>IF(Y379="","",Y379-M379)</f>
        <v/>
      </c>
      <c r="AF379" s="21">
        <f>IF(Z379="","",Z379-N379)</f>
        <v/>
      </c>
      <c r="AG379" s="21">
        <f>IF(AA379="","",AA379-O379)</f>
        <v/>
      </c>
      <c r="AH379" s="21">
        <f>IF(AB379="","",AB379-P379)</f>
        <v/>
      </c>
      <c r="AI379" s="18">
        <f>IF(COUNTA(W379:AB379)=0,"未入力",IF(COUNTA(W379:AB379)&lt;6,"一部入力",IF(COUNTIF(AC379:AH379,0)=6,"一致","差分あり")))</f>
        <v/>
      </c>
      <c r="AJ3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79" s="19" t="inlineStr"/>
      <c r="AL379" s="18" t="inlineStr">
        <is>
          <t>2026-06-29</t>
        </is>
      </c>
    </row>
    <row r="380" ht="22" customHeight="1">
      <c r="A380" s="17" t="inlineStr">
        <is>
          <t>1004602-LB10</t>
        </is>
      </c>
      <c r="B380" s="18" t="n">
        <v>1004602</v>
      </c>
      <c r="C380" s="17" t="inlineStr">
        <is>
          <t>SKura02</t>
        </is>
      </c>
      <c r="D380" s="17" t="inlineStr">
        <is>
          <t>SKura</t>
        </is>
      </c>
      <c r="E380" s="17" t="inlineStr">
        <is>
          <t>蔵 里見</t>
        </is>
      </c>
      <c r="F380" s="19" t="inlineStr">
        <is>
          <t>清流に坐す</t>
        </is>
      </c>
      <c r="G380" s="18" t="inlineStr">
        <is>
          <t>S</t>
        </is>
      </c>
      <c r="H380" s="17" t="inlineStr">
        <is>
          <t>Blaster</t>
        </is>
      </c>
      <c r="I380" s="18" t="n">
        <v>10</v>
      </c>
      <c r="J380" s="18" t="n">
        <v>10</v>
      </c>
      <c r="K380" s="18" t="n">
        <v>426</v>
      </c>
      <c r="L380" s="18" t="n">
        <v>369</v>
      </c>
      <c r="M380" s="18" t="n">
        <v>372</v>
      </c>
      <c r="N380" s="18" t="n">
        <v>384</v>
      </c>
      <c r="O380" s="18" t="n">
        <v>375</v>
      </c>
      <c r="P380" s="18" t="n">
        <v>423</v>
      </c>
      <c r="Q380" s="18" t="n">
        <v>43</v>
      </c>
      <c r="R380" s="18" t="n">
        <v>37</v>
      </c>
      <c r="S380" s="18" t="n">
        <v>38</v>
      </c>
      <c r="T380" s="18" t="n">
        <v>39</v>
      </c>
      <c r="U380" s="18" t="n">
        <v>38</v>
      </c>
      <c r="V380" s="18" t="n">
        <v>43</v>
      </c>
      <c r="W380" s="20" t="n"/>
      <c r="X380" s="20" t="n"/>
      <c r="Y380" s="20" t="n"/>
      <c r="Z380" s="20" t="n"/>
      <c r="AA380" s="20" t="n"/>
      <c r="AB380" s="20" t="n"/>
      <c r="AC380" s="21">
        <f>IF(W380="","",W380-K380)</f>
        <v/>
      </c>
      <c r="AD380" s="21">
        <f>IF(X380="","",X380-L380)</f>
        <v/>
      </c>
      <c r="AE380" s="21">
        <f>IF(Y380="","",Y380-M380)</f>
        <v/>
      </c>
      <c r="AF380" s="21">
        <f>IF(Z380="","",Z380-N380)</f>
        <v/>
      </c>
      <c r="AG380" s="21">
        <f>IF(AA380="","",AA380-O380)</f>
        <v/>
      </c>
      <c r="AH380" s="21">
        <f>IF(AB380="","",AB380-P380)</f>
        <v/>
      </c>
      <c r="AI380" s="18">
        <f>IF(COUNTA(W380:AB380)=0,"未入力",IF(COUNTA(W380:AB380)&lt;6,"一部入力",IF(COUNTIF(AC380:AH380,0)=6,"一致","差分あり")))</f>
        <v/>
      </c>
      <c r="AJ3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0" s="19" t="inlineStr"/>
      <c r="AL380" s="18" t="inlineStr">
        <is>
          <t>2026-06-29</t>
        </is>
      </c>
    </row>
    <row r="381" ht="22" customHeight="1">
      <c r="A381" s="17" t="inlineStr">
        <is>
          <t>1004603-LB0</t>
        </is>
      </c>
      <c r="B381" s="18" t="n">
        <v>1004603</v>
      </c>
      <c r="C381" s="17" t="inlineStr">
        <is>
          <t>SKura03</t>
        </is>
      </c>
      <c r="D381" s="17" t="inlineStr">
        <is>
          <t>SKura</t>
        </is>
      </c>
      <c r="E381" s="17" t="inlineStr">
        <is>
          <t>蔵 里見</t>
        </is>
      </c>
      <c r="F381" s="19" t="inlineStr">
        <is>
          <t>此に期するは豊穣の御霊</t>
        </is>
      </c>
      <c r="G381" s="18" t="inlineStr">
        <is>
          <t>SS</t>
        </is>
      </c>
      <c r="H381" s="17" t="inlineStr">
        <is>
          <t>Blaster</t>
        </is>
      </c>
      <c r="I381" s="18" t="n">
        <v>0</v>
      </c>
      <c r="J381" s="18" t="n">
        <v>4</v>
      </c>
      <c r="K381" s="18" t="n">
        <v>350</v>
      </c>
      <c r="L381" s="18" t="n">
        <v>408</v>
      </c>
      <c r="M381" s="18" t="n">
        <v>377</v>
      </c>
      <c r="N381" s="18" t="n">
        <v>365</v>
      </c>
      <c r="O381" s="18" t="n">
        <v>382</v>
      </c>
      <c r="P381" s="18" t="n">
        <v>383</v>
      </c>
      <c r="Q381" s="18" t="n">
        <v>35</v>
      </c>
      <c r="R381" s="18" t="n">
        <v>41</v>
      </c>
      <c r="S381" s="18" t="n">
        <v>38</v>
      </c>
      <c r="T381" s="18" t="n">
        <v>37</v>
      </c>
      <c r="U381" s="18" t="n">
        <v>39</v>
      </c>
      <c r="V381" s="18" t="n">
        <v>39</v>
      </c>
      <c r="W381" s="20" t="n"/>
      <c r="X381" s="20" t="n"/>
      <c r="Y381" s="20" t="n"/>
      <c r="Z381" s="20" t="n"/>
      <c r="AA381" s="20" t="n"/>
      <c r="AB381" s="20" t="n"/>
      <c r="AC381" s="21">
        <f>IF(W381="","",W381-K381)</f>
        <v/>
      </c>
      <c r="AD381" s="21">
        <f>IF(X381="","",X381-L381)</f>
        <v/>
      </c>
      <c r="AE381" s="21">
        <f>IF(Y381="","",Y381-M381)</f>
        <v/>
      </c>
      <c r="AF381" s="21">
        <f>IF(Z381="","",Z381-N381)</f>
        <v/>
      </c>
      <c r="AG381" s="21">
        <f>IF(AA381="","",AA381-O381)</f>
        <v/>
      </c>
      <c r="AH381" s="21">
        <f>IF(AB381="","",AB381-P381)</f>
        <v/>
      </c>
      <c r="AI381" s="18">
        <f>IF(COUNTA(W381:AB381)=0,"未入力",IF(COUNTA(W381:AB381)&lt;6,"一部入力",IF(COUNTIF(AC381:AH381,0)=6,"一致","差分あり")))</f>
        <v/>
      </c>
      <c r="AJ3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1" s="19" t="inlineStr"/>
      <c r="AL381" s="18" t="inlineStr">
        <is>
          <t>2026-06-29</t>
        </is>
      </c>
    </row>
    <row r="382" ht="22" customHeight="1">
      <c r="A382" s="17" t="inlineStr">
        <is>
          <t>1004603-LB4</t>
        </is>
      </c>
      <c r="B382" s="18" t="n">
        <v>1004603</v>
      </c>
      <c r="C382" s="17" t="inlineStr">
        <is>
          <t>SKura03</t>
        </is>
      </c>
      <c r="D382" s="17" t="inlineStr">
        <is>
          <t>SKura</t>
        </is>
      </c>
      <c r="E382" s="17" t="inlineStr">
        <is>
          <t>蔵 里見</t>
        </is>
      </c>
      <c r="F382" s="19" t="inlineStr">
        <is>
          <t>此に期するは豊穣の御霊</t>
        </is>
      </c>
      <c r="G382" s="18" t="inlineStr">
        <is>
          <t>SS</t>
        </is>
      </c>
      <c r="H382" s="17" t="inlineStr">
        <is>
          <t>Blaster</t>
        </is>
      </c>
      <c r="I382" s="18" t="n">
        <v>4</v>
      </c>
      <c r="J382" s="18" t="n">
        <v>4</v>
      </c>
      <c r="K382" s="18" t="n">
        <v>440</v>
      </c>
      <c r="L382" s="18" t="n">
        <v>495</v>
      </c>
      <c r="M382" s="18" t="n">
        <v>465</v>
      </c>
      <c r="N382" s="18" t="n">
        <v>453</v>
      </c>
      <c r="O382" s="18" t="n">
        <v>467</v>
      </c>
      <c r="P382" s="18" t="n">
        <v>472</v>
      </c>
      <c r="Q382" s="18" t="n">
        <v>44</v>
      </c>
      <c r="R382" s="18" t="n">
        <v>50</v>
      </c>
      <c r="S382" s="18" t="n">
        <v>47</v>
      </c>
      <c r="T382" s="18" t="n">
        <v>46</v>
      </c>
      <c r="U382" s="18" t="n">
        <v>47</v>
      </c>
      <c r="V382" s="18" t="n">
        <v>48</v>
      </c>
      <c r="W382" s="20" t="n"/>
      <c r="X382" s="20" t="n"/>
      <c r="Y382" s="20" t="n"/>
      <c r="Z382" s="20" t="n"/>
      <c r="AA382" s="20" t="n"/>
      <c r="AB382" s="20" t="n"/>
      <c r="AC382" s="21">
        <f>IF(W382="","",W382-K382)</f>
        <v/>
      </c>
      <c r="AD382" s="21">
        <f>IF(X382="","",X382-L382)</f>
        <v/>
      </c>
      <c r="AE382" s="21">
        <f>IF(Y382="","",Y382-M382)</f>
        <v/>
      </c>
      <c r="AF382" s="21">
        <f>IF(Z382="","",Z382-N382)</f>
        <v/>
      </c>
      <c r="AG382" s="21">
        <f>IF(AA382="","",AA382-O382)</f>
        <v/>
      </c>
      <c r="AH382" s="21">
        <f>IF(AB382="","",AB382-P382)</f>
        <v/>
      </c>
      <c r="AI382" s="18">
        <f>IF(COUNTA(W382:AB382)=0,"未入力",IF(COUNTA(W382:AB382)&lt;6,"一部入力",IF(COUNTIF(AC382:AH382,0)=6,"一致","差分あり")))</f>
        <v/>
      </c>
      <c r="AJ3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2" s="19" t="inlineStr"/>
      <c r="AL382" s="18" t="inlineStr">
        <is>
          <t>2026-06-29</t>
        </is>
      </c>
    </row>
    <row r="383" ht="22" customHeight="1">
      <c r="A383" s="17" t="inlineStr">
        <is>
          <t>1004604-LB0</t>
        </is>
      </c>
      <c r="B383" s="18" t="n">
        <v>1004604</v>
      </c>
      <c r="C383" s="17" t="inlineStr">
        <is>
          <t>SKura04</t>
        </is>
      </c>
      <c r="D383" s="17" t="inlineStr">
        <is>
          <t>SKura</t>
        </is>
      </c>
      <c r="E383" s="17" t="inlineStr">
        <is>
          <t>蔵 里見</t>
        </is>
      </c>
      <c r="F383" s="19" t="inlineStr">
        <is>
          <t>夜警の空</t>
        </is>
      </c>
      <c r="G383" s="18" t="inlineStr">
        <is>
          <t>S</t>
        </is>
      </c>
      <c r="H383" s="17" t="inlineStr">
        <is>
          <t>Blaster</t>
        </is>
      </c>
      <c r="I383" s="18" t="n">
        <v>0</v>
      </c>
      <c r="J383" s="18" t="n">
        <v>10</v>
      </c>
      <c r="K383" s="18" t="n">
        <v>325</v>
      </c>
      <c r="L383" s="18" t="n">
        <v>314</v>
      </c>
      <c r="M383" s="18" t="n">
        <v>350</v>
      </c>
      <c r="N383" s="18" t="n">
        <v>351</v>
      </c>
      <c r="O383" s="18" t="n">
        <v>300</v>
      </c>
      <c r="P383" s="18" t="n">
        <v>311</v>
      </c>
      <c r="Q383" s="18" t="n">
        <v>33</v>
      </c>
      <c r="R383" s="18" t="n">
        <v>32</v>
      </c>
      <c r="S383" s="18" t="n">
        <v>35</v>
      </c>
      <c r="T383" s="18" t="n">
        <v>36</v>
      </c>
      <c r="U383" s="18" t="n">
        <v>30</v>
      </c>
      <c r="V383" s="18" t="n">
        <v>32</v>
      </c>
      <c r="W383" s="20" t="n"/>
      <c r="X383" s="20" t="n"/>
      <c r="Y383" s="20" t="n"/>
      <c r="Z383" s="20" t="n"/>
      <c r="AA383" s="20" t="n"/>
      <c r="AB383" s="20" t="n"/>
      <c r="AC383" s="21">
        <f>IF(W383="","",W383-K383)</f>
        <v/>
      </c>
      <c r="AD383" s="21">
        <f>IF(X383="","",X383-L383)</f>
        <v/>
      </c>
      <c r="AE383" s="21">
        <f>IF(Y383="","",Y383-M383)</f>
        <v/>
      </c>
      <c r="AF383" s="21">
        <f>IF(Z383="","",Z383-N383)</f>
        <v/>
      </c>
      <c r="AG383" s="21">
        <f>IF(AA383="","",AA383-O383)</f>
        <v/>
      </c>
      <c r="AH383" s="21">
        <f>IF(AB383="","",AB383-P383)</f>
        <v/>
      </c>
      <c r="AI383" s="18">
        <f>IF(COUNTA(W383:AB383)=0,"未入力",IF(COUNTA(W383:AB383)&lt;6,"一部入力",IF(COUNTIF(AC383:AH383,0)=6,"一致","差分あり")))</f>
        <v/>
      </c>
      <c r="AJ3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3" s="19" t="inlineStr"/>
      <c r="AL383" s="18" t="inlineStr">
        <is>
          <t>2026-06-29</t>
        </is>
      </c>
    </row>
    <row r="384" ht="22" customHeight="1">
      <c r="A384" s="17" t="inlineStr">
        <is>
          <t>1004604-LB10</t>
        </is>
      </c>
      <c r="B384" s="18" t="n">
        <v>1004604</v>
      </c>
      <c r="C384" s="17" t="inlineStr">
        <is>
          <t>SKura04</t>
        </is>
      </c>
      <c r="D384" s="17" t="inlineStr">
        <is>
          <t>SKura</t>
        </is>
      </c>
      <c r="E384" s="17" t="inlineStr">
        <is>
          <t>蔵 里見</t>
        </is>
      </c>
      <c r="F384" s="19" t="inlineStr">
        <is>
          <t>夜警の空</t>
        </is>
      </c>
      <c r="G384" s="18" t="inlineStr">
        <is>
          <t>S</t>
        </is>
      </c>
      <c r="H384" s="17" t="inlineStr">
        <is>
          <t>Blaster</t>
        </is>
      </c>
      <c r="I384" s="18" t="n">
        <v>10</v>
      </c>
      <c r="J384" s="18" t="n">
        <v>10</v>
      </c>
      <c r="K384" s="18" t="n">
        <v>393</v>
      </c>
      <c r="L384" s="18" t="n">
        <v>380</v>
      </c>
      <c r="M384" s="18" t="n">
        <v>416</v>
      </c>
      <c r="N384" s="18" t="n">
        <v>417</v>
      </c>
      <c r="O384" s="18" t="n">
        <v>364</v>
      </c>
      <c r="P384" s="18" t="n">
        <v>378</v>
      </c>
      <c r="Q384" s="18" t="n">
        <v>40</v>
      </c>
      <c r="R384" s="18" t="n">
        <v>38</v>
      </c>
      <c r="S384" s="18" t="n">
        <v>42</v>
      </c>
      <c r="T384" s="18" t="n">
        <v>42</v>
      </c>
      <c r="U384" s="18" t="n">
        <v>37</v>
      </c>
      <c r="V384" s="18" t="n">
        <v>38</v>
      </c>
      <c r="W384" s="20" t="n"/>
      <c r="X384" s="20" t="n"/>
      <c r="Y384" s="20" t="n"/>
      <c r="Z384" s="20" t="n"/>
      <c r="AA384" s="20" t="n"/>
      <c r="AB384" s="20" t="n"/>
      <c r="AC384" s="21">
        <f>IF(W384="","",W384-K384)</f>
        <v/>
      </c>
      <c r="AD384" s="21">
        <f>IF(X384="","",X384-L384)</f>
        <v/>
      </c>
      <c r="AE384" s="21">
        <f>IF(Y384="","",Y384-M384)</f>
        <v/>
      </c>
      <c r="AF384" s="21">
        <f>IF(Z384="","",Z384-N384)</f>
        <v/>
      </c>
      <c r="AG384" s="21">
        <f>IF(AA384="","",AA384-O384)</f>
        <v/>
      </c>
      <c r="AH384" s="21">
        <f>IF(AB384="","",AB384-P384)</f>
        <v/>
      </c>
      <c r="AI384" s="18">
        <f>IF(COUNTA(W384:AB384)=0,"未入力",IF(COUNTA(W384:AB384)&lt;6,"一部入力",IF(COUNTIF(AC384:AH384,0)=6,"一致","差分あり")))</f>
        <v/>
      </c>
      <c r="AJ3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4" s="19" t="inlineStr"/>
      <c r="AL384" s="18" t="inlineStr">
        <is>
          <t>2026-06-29</t>
        </is>
      </c>
    </row>
    <row r="385" ht="22" customHeight="1">
      <c r="A385" s="17" t="inlineStr">
        <is>
          <t>1004605-LB0</t>
        </is>
      </c>
      <c r="B385" s="18" t="n">
        <v>1004605</v>
      </c>
      <c r="C385" s="17" t="inlineStr">
        <is>
          <t>SKura05</t>
        </is>
      </c>
      <c r="D385" s="17" t="inlineStr">
        <is>
          <t>SKura</t>
        </is>
      </c>
      <c r="E385" s="17" t="inlineStr">
        <is>
          <t>蔵 里見</t>
        </is>
      </c>
      <c r="F385" s="19" t="inlineStr">
        <is>
          <t>若女将の日々</t>
        </is>
      </c>
      <c r="G385" s="18" t="inlineStr">
        <is>
          <t>SS</t>
        </is>
      </c>
      <c r="H385" s="17" t="inlineStr">
        <is>
          <t>Blaster</t>
        </is>
      </c>
      <c r="I385" s="18" t="n">
        <v>0</v>
      </c>
      <c r="J385" s="18" t="n">
        <v>4</v>
      </c>
      <c r="K385" s="18" t="n">
        <v>444</v>
      </c>
      <c r="L385" s="18" t="n">
        <v>361</v>
      </c>
      <c r="M385" s="18" t="n">
        <v>386</v>
      </c>
      <c r="N385" s="18" t="n">
        <v>400</v>
      </c>
      <c r="O385" s="18" t="n">
        <v>391</v>
      </c>
      <c r="P385" s="18" t="n">
        <v>419</v>
      </c>
      <c r="Q385" s="18" t="n">
        <v>45</v>
      </c>
      <c r="R385" s="18" t="n">
        <v>37</v>
      </c>
      <c r="S385" s="18" t="n">
        <v>39</v>
      </c>
      <c r="T385" s="18" t="n">
        <v>40</v>
      </c>
      <c r="U385" s="18" t="n">
        <v>40</v>
      </c>
      <c r="V385" s="18" t="n">
        <v>42</v>
      </c>
      <c r="W385" s="20" t="n"/>
      <c r="X385" s="20" t="n"/>
      <c r="Y385" s="20" t="n"/>
      <c r="Z385" s="20" t="n"/>
      <c r="AA385" s="20" t="n"/>
      <c r="AB385" s="20" t="n"/>
      <c r="AC385" s="21">
        <f>IF(W385="","",W385-K385)</f>
        <v/>
      </c>
      <c r="AD385" s="21">
        <f>IF(X385="","",X385-L385)</f>
        <v/>
      </c>
      <c r="AE385" s="21">
        <f>IF(Y385="","",Y385-M385)</f>
        <v/>
      </c>
      <c r="AF385" s="21">
        <f>IF(Z385="","",Z385-N385)</f>
        <v/>
      </c>
      <c r="AG385" s="21">
        <f>IF(AA385="","",AA385-O385)</f>
        <v/>
      </c>
      <c r="AH385" s="21">
        <f>IF(AB385="","",AB385-P385)</f>
        <v/>
      </c>
      <c r="AI385" s="18">
        <f>IF(COUNTA(W385:AB385)=0,"未入力",IF(COUNTA(W385:AB385)&lt;6,"一部入力",IF(COUNTIF(AC385:AH385,0)=6,"一致","差分あり")))</f>
        <v/>
      </c>
      <c r="AJ3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5" s="19" t="inlineStr"/>
      <c r="AL385" s="18" t="inlineStr">
        <is>
          <t>2026-06-29</t>
        </is>
      </c>
    </row>
    <row r="386" ht="22" customHeight="1">
      <c r="A386" s="17" t="inlineStr">
        <is>
          <t>1004605-LB4</t>
        </is>
      </c>
      <c r="B386" s="18" t="n">
        <v>1004605</v>
      </c>
      <c r="C386" s="17" t="inlineStr">
        <is>
          <t>SKura05</t>
        </is>
      </c>
      <c r="D386" s="17" t="inlineStr">
        <is>
          <t>SKura</t>
        </is>
      </c>
      <c r="E386" s="17" t="inlineStr">
        <is>
          <t>蔵 里見</t>
        </is>
      </c>
      <c r="F386" s="19" t="inlineStr">
        <is>
          <t>若女将の日々</t>
        </is>
      </c>
      <c r="G386" s="18" t="inlineStr">
        <is>
          <t>SS</t>
        </is>
      </c>
      <c r="H386" s="17" t="inlineStr">
        <is>
          <t>Blaster</t>
        </is>
      </c>
      <c r="I386" s="18" t="n">
        <v>4</v>
      </c>
      <c r="J386" s="18" t="n">
        <v>4</v>
      </c>
      <c r="K386" s="18" t="n">
        <v>534</v>
      </c>
      <c r="L386" s="18" t="n">
        <v>448</v>
      </c>
      <c r="M386" s="18" t="n">
        <v>473</v>
      </c>
      <c r="N386" s="18" t="n">
        <v>488</v>
      </c>
      <c r="O386" s="18" t="n">
        <v>476</v>
      </c>
      <c r="P386" s="18" t="n">
        <v>508</v>
      </c>
      <c r="Q386" s="18" t="n">
        <v>54</v>
      </c>
      <c r="R386" s="18" t="n">
        <v>45</v>
      </c>
      <c r="S386" s="18" t="n">
        <v>48</v>
      </c>
      <c r="T386" s="18" t="n">
        <v>49</v>
      </c>
      <c r="U386" s="18" t="n">
        <v>48</v>
      </c>
      <c r="V386" s="18" t="n">
        <v>51</v>
      </c>
      <c r="W386" s="20" t="n"/>
      <c r="X386" s="20" t="n"/>
      <c r="Y386" s="20" t="n"/>
      <c r="Z386" s="20" t="n"/>
      <c r="AA386" s="20" t="n"/>
      <c r="AB386" s="20" t="n"/>
      <c r="AC386" s="21">
        <f>IF(W386="","",W386-K386)</f>
        <v/>
      </c>
      <c r="AD386" s="21">
        <f>IF(X386="","",X386-L386)</f>
        <v/>
      </c>
      <c r="AE386" s="21">
        <f>IF(Y386="","",Y386-M386)</f>
        <v/>
      </c>
      <c r="AF386" s="21">
        <f>IF(Z386="","",Z386-N386)</f>
        <v/>
      </c>
      <c r="AG386" s="21">
        <f>IF(AA386="","",AA386-O386)</f>
        <v/>
      </c>
      <c r="AH386" s="21">
        <f>IF(AB386="","",AB386-P386)</f>
        <v/>
      </c>
      <c r="AI386" s="18">
        <f>IF(COUNTA(W386:AB386)=0,"未入力",IF(COUNTA(W386:AB386)&lt;6,"一部入力",IF(COUNTIF(AC386:AH386,0)=6,"一致","差分あり")))</f>
        <v/>
      </c>
      <c r="AJ3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6" s="19" t="inlineStr"/>
      <c r="AL386" s="18" t="inlineStr">
        <is>
          <t>2026-06-29</t>
        </is>
      </c>
    </row>
    <row r="387" ht="22" customHeight="1">
      <c r="A387" s="17" t="inlineStr">
        <is>
          <t>1004606-LB0</t>
        </is>
      </c>
      <c r="B387" s="18" t="n">
        <v>1004606</v>
      </c>
      <c r="C387" s="17" t="inlineStr">
        <is>
          <t>SKura06</t>
        </is>
      </c>
      <c r="D387" s="17" t="inlineStr">
        <is>
          <t>SKura</t>
        </is>
      </c>
      <c r="E387" s="17" t="inlineStr">
        <is>
          <t>蔵 里見</t>
        </is>
      </c>
      <c r="F387" s="19" t="inlineStr">
        <is>
          <t>夏陽炎の名勝負</t>
        </is>
      </c>
      <c r="G387" s="18" t="inlineStr">
        <is>
          <t>SSR</t>
        </is>
      </c>
      <c r="H387" s="17" t="inlineStr">
        <is>
          <t>Attacker</t>
        </is>
      </c>
      <c r="I387" s="18" t="n">
        <v>0</v>
      </c>
      <c r="J387" s="18" t="n">
        <v>4</v>
      </c>
      <c r="K387" s="18" t="n">
        <v>444</v>
      </c>
      <c r="L387" s="18" t="n">
        <v>361</v>
      </c>
      <c r="M387" s="18" t="n">
        <v>386</v>
      </c>
      <c r="N387" s="18" t="n">
        <v>400</v>
      </c>
      <c r="O387" s="18" t="n">
        <v>391</v>
      </c>
      <c r="P387" s="18" t="n">
        <v>419</v>
      </c>
      <c r="Q387" s="18" t="n">
        <v>45</v>
      </c>
      <c r="R387" s="18" t="n">
        <v>37</v>
      </c>
      <c r="S387" s="18" t="n">
        <v>39</v>
      </c>
      <c r="T387" s="18" t="n">
        <v>40</v>
      </c>
      <c r="U387" s="18" t="n">
        <v>40</v>
      </c>
      <c r="V387" s="18" t="n">
        <v>42</v>
      </c>
      <c r="W387" s="20" t="n"/>
      <c r="X387" s="20" t="n"/>
      <c r="Y387" s="20" t="n"/>
      <c r="Z387" s="20" t="n"/>
      <c r="AA387" s="20" t="n"/>
      <c r="AB387" s="20" t="n"/>
      <c r="AC387" s="21">
        <f>IF(W387="","",W387-K387)</f>
        <v/>
      </c>
      <c r="AD387" s="21">
        <f>IF(X387="","",X387-L387)</f>
        <v/>
      </c>
      <c r="AE387" s="21">
        <f>IF(Y387="","",Y387-M387)</f>
        <v/>
      </c>
      <c r="AF387" s="21">
        <f>IF(Z387="","",Z387-N387)</f>
        <v/>
      </c>
      <c r="AG387" s="21">
        <f>IF(AA387="","",AA387-O387)</f>
        <v/>
      </c>
      <c r="AH387" s="21">
        <f>IF(AB387="","",AB387-P387)</f>
        <v/>
      </c>
      <c r="AI387" s="18">
        <f>IF(COUNTA(W387:AB387)=0,"未入力",IF(COUNTA(W387:AB387)&lt;6,"一部入力",IF(COUNTIF(AC387:AH387,0)=6,"一致","差分あり")))</f>
        <v/>
      </c>
      <c r="AJ3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7" s="19" t="inlineStr"/>
      <c r="AL387" s="18" t="inlineStr">
        <is>
          <t>2026-06-29</t>
        </is>
      </c>
    </row>
    <row r="388" ht="22" customHeight="1">
      <c r="A388" s="17" t="inlineStr">
        <is>
          <t>1004606-LB4</t>
        </is>
      </c>
      <c r="B388" s="18" t="n">
        <v>1004606</v>
      </c>
      <c r="C388" s="17" t="inlineStr">
        <is>
          <t>SKura06</t>
        </is>
      </c>
      <c r="D388" s="17" t="inlineStr">
        <is>
          <t>SKura</t>
        </is>
      </c>
      <c r="E388" s="17" t="inlineStr">
        <is>
          <t>蔵 里見</t>
        </is>
      </c>
      <c r="F388" s="19" t="inlineStr">
        <is>
          <t>夏陽炎の名勝負</t>
        </is>
      </c>
      <c r="G388" s="18" t="inlineStr">
        <is>
          <t>SSR</t>
        </is>
      </c>
      <c r="H388" s="17" t="inlineStr">
        <is>
          <t>Attacker</t>
        </is>
      </c>
      <c r="I388" s="18" t="n">
        <v>4</v>
      </c>
      <c r="J388" s="18" t="n">
        <v>4</v>
      </c>
      <c r="K388" s="18" t="n">
        <v>534</v>
      </c>
      <c r="L388" s="18" t="n">
        <v>448</v>
      </c>
      <c r="M388" s="18" t="n">
        <v>473</v>
      </c>
      <c r="N388" s="18" t="n">
        <v>488</v>
      </c>
      <c r="O388" s="18" t="n">
        <v>476</v>
      </c>
      <c r="P388" s="18" t="n">
        <v>508</v>
      </c>
      <c r="Q388" s="18" t="n">
        <v>54</v>
      </c>
      <c r="R388" s="18" t="n">
        <v>45</v>
      </c>
      <c r="S388" s="18" t="n">
        <v>48</v>
      </c>
      <c r="T388" s="18" t="n">
        <v>49</v>
      </c>
      <c r="U388" s="18" t="n">
        <v>48</v>
      </c>
      <c r="V388" s="18" t="n">
        <v>51</v>
      </c>
      <c r="W388" s="20" t="n"/>
      <c r="X388" s="20" t="n"/>
      <c r="Y388" s="20" t="n"/>
      <c r="Z388" s="20" t="n"/>
      <c r="AA388" s="20" t="n"/>
      <c r="AB388" s="20" t="n"/>
      <c r="AC388" s="21">
        <f>IF(W388="","",W388-K388)</f>
        <v/>
      </c>
      <c r="AD388" s="21">
        <f>IF(X388="","",X388-L388)</f>
        <v/>
      </c>
      <c r="AE388" s="21">
        <f>IF(Y388="","",Y388-M388)</f>
        <v/>
      </c>
      <c r="AF388" s="21">
        <f>IF(Z388="","",Z388-N388)</f>
        <v/>
      </c>
      <c r="AG388" s="21">
        <f>IF(AA388="","",AA388-O388)</f>
        <v/>
      </c>
      <c r="AH388" s="21">
        <f>IF(AB388="","",AB388-P388)</f>
        <v/>
      </c>
      <c r="AI388" s="18">
        <f>IF(COUNTA(W388:AB388)=0,"未入力",IF(COUNTA(W388:AB388)&lt;6,"一部入力",IF(COUNTIF(AC388:AH388,0)=6,"一致","差分あり")))</f>
        <v/>
      </c>
      <c r="AJ3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8" s="19" t="inlineStr"/>
      <c r="AL388" s="18" t="inlineStr">
        <is>
          <t>2026-06-29</t>
        </is>
      </c>
    </row>
    <row r="389" ht="22" customHeight="1">
      <c r="A389" s="17" t="inlineStr">
        <is>
          <t>1004607-LB0</t>
        </is>
      </c>
      <c r="B389" s="18" t="n">
        <v>1004607</v>
      </c>
      <c r="C389" s="17" t="inlineStr">
        <is>
          <t>SKura07</t>
        </is>
      </c>
      <c r="D389" s="17" t="inlineStr">
        <is>
          <t>SKura</t>
        </is>
      </c>
      <c r="E389" s="17" t="inlineStr">
        <is>
          <t>蔵 里見</t>
        </is>
      </c>
      <c r="F389" s="19" t="inlineStr">
        <is>
          <t>親愛の結び</t>
        </is>
      </c>
      <c r="G389" s="18" t="inlineStr">
        <is>
          <t>S</t>
        </is>
      </c>
      <c r="H389" s="17" t="inlineStr">
        <is>
          <t>Buffer</t>
        </is>
      </c>
      <c r="I389" s="18" t="n">
        <v>0</v>
      </c>
      <c r="J389" s="18" t="n">
        <v>10</v>
      </c>
      <c r="K389" s="18" t="n">
        <v>325</v>
      </c>
      <c r="L389" s="18" t="n">
        <v>314</v>
      </c>
      <c r="M389" s="18" t="n">
        <v>350</v>
      </c>
      <c r="N389" s="18" t="n">
        <v>351</v>
      </c>
      <c r="O389" s="18" t="n">
        <v>300</v>
      </c>
      <c r="P389" s="18" t="n">
        <v>311</v>
      </c>
      <c r="Q389" s="18" t="n">
        <v>33</v>
      </c>
      <c r="R389" s="18" t="n">
        <v>32</v>
      </c>
      <c r="S389" s="18" t="n">
        <v>35</v>
      </c>
      <c r="T389" s="18" t="n">
        <v>36</v>
      </c>
      <c r="U389" s="18" t="n">
        <v>30</v>
      </c>
      <c r="V389" s="18" t="n">
        <v>32</v>
      </c>
      <c r="W389" s="20" t="n"/>
      <c r="X389" s="20" t="n"/>
      <c r="Y389" s="20" t="n"/>
      <c r="Z389" s="20" t="n"/>
      <c r="AA389" s="20" t="n"/>
      <c r="AB389" s="20" t="n"/>
      <c r="AC389" s="21">
        <f>IF(W389="","",W389-K389)</f>
        <v/>
      </c>
      <c r="AD389" s="21">
        <f>IF(X389="","",X389-L389)</f>
        <v/>
      </c>
      <c r="AE389" s="21">
        <f>IF(Y389="","",Y389-M389)</f>
        <v/>
      </c>
      <c r="AF389" s="21">
        <f>IF(Z389="","",Z389-N389)</f>
        <v/>
      </c>
      <c r="AG389" s="21">
        <f>IF(AA389="","",AA389-O389)</f>
        <v/>
      </c>
      <c r="AH389" s="21">
        <f>IF(AB389="","",AB389-P389)</f>
        <v/>
      </c>
      <c r="AI389" s="18">
        <f>IF(COUNTA(W389:AB389)=0,"未入力",IF(COUNTA(W389:AB389)&lt;6,"一部入力",IF(COUNTIF(AC389:AH389,0)=6,"一致","差分あり")))</f>
        <v/>
      </c>
      <c r="AJ3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89" s="19" t="inlineStr"/>
      <c r="AL389" s="18" t="inlineStr">
        <is>
          <t>2026-06-29</t>
        </is>
      </c>
    </row>
    <row r="390" ht="22" customHeight="1">
      <c r="A390" s="17" t="inlineStr">
        <is>
          <t>1004607-LB10</t>
        </is>
      </c>
      <c r="B390" s="18" t="n">
        <v>1004607</v>
      </c>
      <c r="C390" s="17" t="inlineStr">
        <is>
          <t>SKura07</t>
        </is>
      </c>
      <c r="D390" s="17" t="inlineStr">
        <is>
          <t>SKura</t>
        </is>
      </c>
      <c r="E390" s="17" t="inlineStr">
        <is>
          <t>蔵 里見</t>
        </is>
      </c>
      <c r="F390" s="19" t="inlineStr">
        <is>
          <t>親愛の結び</t>
        </is>
      </c>
      <c r="G390" s="18" t="inlineStr">
        <is>
          <t>S</t>
        </is>
      </c>
      <c r="H390" s="17" t="inlineStr">
        <is>
          <t>Buffer</t>
        </is>
      </c>
      <c r="I390" s="18" t="n">
        <v>10</v>
      </c>
      <c r="J390" s="18" t="n">
        <v>10</v>
      </c>
      <c r="K390" s="18" t="n">
        <v>393</v>
      </c>
      <c r="L390" s="18" t="n">
        <v>380</v>
      </c>
      <c r="M390" s="18" t="n">
        <v>416</v>
      </c>
      <c r="N390" s="18" t="n">
        <v>417</v>
      </c>
      <c r="O390" s="18" t="n">
        <v>364</v>
      </c>
      <c r="P390" s="18" t="n">
        <v>378</v>
      </c>
      <c r="Q390" s="18" t="n">
        <v>40</v>
      </c>
      <c r="R390" s="18" t="n">
        <v>38</v>
      </c>
      <c r="S390" s="18" t="n">
        <v>42</v>
      </c>
      <c r="T390" s="18" t="n">
        <v>42</v>
      </c>
      <c r="U390" s="18" t="n">
        <v>37</v>
      </c>
      <c r="V390" s="18" t="n">
        <v>38</v>
      </c>
      <c r="W390" s="20" t="n"/>
      <c r="X390" s="20" t="n"/>
      <c r="Y390" s="20" t="n"/>
      <c r="Z390" s="20" t="n"/>
      <c r="AA390" s="20" t="n"/>
      <c r="AB390" s="20" t="n"/>
      <c r="AC390" s="21">
        <f>IF(W390="","",W390-K390)</f>
        <v/>
      </c>
      <c r="AD390" s="21">
        <f>IF(X390="","",X390-L390)</f>
        <v/>
      </c>
      <c r="AE390" s="21">
        <f>IF(Y390="","",Y390-M390)</f>
        <v/>
      </c>
      <c r="AF390" s="21">
        <f>IF(Z390="","",Z390-N390)</f>
        <v/>
      </c>
      <c r="AG390" s="21">
        <f>IF(AA390="","",AA390-O390)</f>
        <v/>
      </c>
      <c r="AH390" s="21">
        <f>IF(AB390="","",AB390-P390)</f>
        <v/>
      </c>
      <c r="AI390" s="18">
        <f>IF(COUNTA(W390:AB390)=0,"未入力",IF(COUNTA(W390:AB390)&lt;6,"一部入力",IF(COUNTIF(AC390:AH390,0)=6,"一致","差分あり")))</f>
        <v/>
      </c>
      <c r="AJ3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0" s="19" t="inlineStr"/>
      <c r="AL390" s="18" t="inlineStr">
        <is>
          <t>2026-06-29</t>
        </is>
      </c>
    </row>
    <row r="391" ht="22" customHeight="1">
      <c r="A391" s="17" t="inlineStr">
        <is>
          <t>1005101-LB0</t>
        </is>
      </c>
      <c r="B391" s="18" t="n">
        <v>1005101</v>
      </c>
      <c r="C391" s="17" t="inlineStr">
        <is>
          <t>MNikaido01</t>
        </is>
      </c>
      <c r="D391" s="17" t="inlineStr">
        <is>
          <t>MNikaido</t>
        </is>
      </c>
      <c r="E391" s="17" t="inlineStr">
        <is>
          <t>二階堂 三郷</t>
        </is>
      </c>
      <c r="F391" s="19" t="inlineStr">
        <is>
          <t>最年少名人</t>
        </is>
      </c>
      <c r="G391" s="18" t="inlineStr">
        <is>
          <t>A</t>
        </is>
      </c>
      <c r="H391" s="17" t="inlineStr">
        <is>
          <t>Attacker</t>
        </is>
      </c>
      <c r="I391" s="18" t="n">
        <v>0</v>
      </c>
      <c r="J391" s="18" t="n">
        <v>20</v>
      </c>
      <c r="K391" s="18" t="n">
        <v>288</v>
      </c>
      <c r="L391" s="18" t="n">
        <v>274</v>
      </c>
      <c r="M391" s="18" t="n">
        <v>297</v>
      </c>
      <c r="N391" s="18" t="n">
        <v>291</v>
      </c>
      <c r="O391" s="18" t="n">
        <v>240</v>
      </c>
      <c r="P391" s="18" t="n">
        <v>251</v>
      </c>
      <c r="Q391" s="18" t="n">
        <v>29</v>
      </c>
      <c r="R391" s="18" t="n">
        <v>28</v>
      </c>
      <c r="S391" s="18" t="n">
        <v>30</v>
      </c>
      <c r="T391" s="18" t="n">
        <v>30</v>
      </c>
      <c r="U391" s="18" t="n">
        <v>24</v>
      </c>
      <c r="V391" s="18" t="n">
        <v>26</v>
      </c>
      <c r="W391" s="20" t="n"/>
      <c r="X391" s="20" t="n"/>
      <c r="Y391" s="20" t="n"/>
      <c r="Z391" s="20" t="n"/>
      <c r="AA391" s="20" t="n"/>
      <c r="AB391" s="20" t="n"/>
      <c r="AC391" s="21">
        <f>IF(W391="","",W391-K391)</f>
        <v/>
      </c>
      <c r="AD391" s="21">
        <f>IF(X391="","",X391-L391)</f>
        <v/>
      </c>
      <c r="AE391" s="21">
        <f>IF(Y391="","",Y391-M391)</f>
        <v/>
      </c>
      <c r="AF391" s="21">
        <f>IF(Z391="","",Z391-N391)</f>
        <v/>
      </c>
      <c r="AG391" s="21">
        <f>IF(AA391="","",AA391-O391)</f>
        <v/>
      </c>
      <c r="AH391" s="21">
        <f>IF(AB391="","",AB391-P391)</f>
        <v/>
      </c>
      <c r="AI391" s="18">
        <f>IF(COUNTA(W391:AB391)=0,"未入力",IF(COUNTA(W391:AB391)&lt;6,"一部入力",IF(COUNTIF(AC391:AH391,0)=6,"一致","差分あり")))</f>
        <v/>
      </c>
      <c r="AJ3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1" s="19" t="inlineStr"/>
      <c r="AL391" s="18" t="inlineStr">
        <is>
          <t>2026-06-29</t>
        </is>
      </c>
    </row>
    <row r="392" ht="22" customHeight="1">
      <c r="A392" s="17" t="inlineStr">
        <is>
          <t>1005101-LB20</t>
        </is>
      </c>
      <c r="B392" s="18" t="n">
        <v>1005101</v>
      </c>
      <c r="C392" s="17" t="inlineStr">
        <is>
          <t>MNikaido01</t>
        </is>
      </c>
      <c r="D392" s="17" t="inlineStr">
        <is>
          <t>MNikaido</t>
        </is>
      </c>
      <c r="E392" s="17" t="inlineStr">
        <is>
          <t>二階堂 三郷</t>
        </is>
      </c>
      <c r="F392" s="19" t="inlineStr">
        <is>
          <t>最年少名人</t>
        </is>
      </c>
      <c r="G392" s="18" t="inlineStr">
        <is>
          <t>A</t>
        </is>
      </c>
      <c r="H392" s="17" t="inlineStr">
        <is>
          <t>Attacker</t>
        </is>
      </c>
      <c r="I392" s="18" t="n">
        <v>20</v>
      </c>
      <c r="J392" s="18" t="n">
        <v>20</v>
      </c>
      <c r="K392" s="18" t="n">
        <v>333</v>
      </c>
      <c r="L392" s="18" t="n">
        <v>317</v>
      </c>
      <c r="M392" s="18" t="n">
        <v>343</v>
      </c>
      <c r="N392" s="18" t="n">
        <v>335</v>
      </c>
      <c r="O392" s="18" t="n">
        <v>282</v>
      </c>
      <c r="P392" s="18" t="n">
        <v>295</v>
      </c>
      <c r="Q392" s="18" t="n">
        <v>34</v>
      </c>
      <c r="R392" s="18" t="n">
        <v>32</v>
      </c>
      <c r="S392" s="18" t="n">
        <v>35</v>
      </c>
      <c r="T392" s="18" t="n">
        <v>34</v>
      </c>
      <c r="U392" s="18" t="n">
        <v>29</v>
      </c>
      <c r="V392" s="18" t="n">
        <v>30</v>
      </c>
      <c r="W392" s="20" t="n"/>
      <c r="X392" s="20" t="n"/>
      <c r="Y392" s="20" t="n"/>
      <c r="Z392" s="20" t="n"/>
      <c r="AA392" s="20" t="n"/>
      <c r="AB392" s="20" t="n"/>
      <c r="AC392" s="21">
        <f>IF(W392="","",W392-K392)</f>
        <v/>
      </c>
      <c r="AD392" s="21">
        <f>IF(X392="","",X392-L392)</f>
        <v/>
      </c>
      <c r="AE392" s="21">
        <f>IF(Y392="","",Y392-M392)</f>
        <v/>
      </c>
      <c r="AF392" s="21">
        <f>IF(Z392="","",Z392-N392)</f>
        <v/>
      </c>
      <c r="AG392" s="21">
        <f>IF(AA392="","",AA392-O392)</f>
        <v/>
      </c>
      <c r="AH392" s="21">
        <f>IF(AB392="","",AB392-P392)</f>
        <v/>
      </c>
      <c r="AI392" s="18">
        <f>IF(COUNTA(W392:AB392)=0,"未入力",IF(COUNTA(W392:AB392)&lt;6,"一部入力",IF(COUNTIF(AC392:AH392,0)=6,"一致","差分あり")))</f>
        <v/>
      </c>
      <c r="AJ3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2" s="19" t="inlineStr"/>
      <c r="AL392" s="18" t="inlineStr">
        <is>
          <t>2026-06-29</t>
        </is>
      </c>
    </row>
    <row r="393" ht="22" customHeight="1">
      <c r="A393" s="17" t="inlineStr">
        <is>
          <t>1005102-LB0</t>
        </is>
      </c>
      <c r="B393" s="18" t="n">
        <v>1005102</v>
      </c>
      <c r="C393" s="17" t="inlineStr">
        <is>
          <t>MNikaido02</t>
        </is>
      </c>
      <c r="D393" s="17" t="inlineStr">
        <is>
          <t>MNikaido</t>
        </is>
      </c>
      <c r="E393" s="17" t="inlineStr">
        <is>
          <t>二階堂 三郷</t>
        </is>
      </c>
      <c r="F393" s="19" t="inlineStr">
        <is>
          <t>今昔の感、想いは往きて</t>
        </is>
      </c>
      <c r="G393" s="18" t="inlineStr">
        <is>
          <t>S</t>
        </is>
      </c>
      <c r="H393" s="17" t="inlineStr">
        <is>
          <t>Attacker</t>
        </is>
      </c>
      <c r="I393" s="18" t="n">
        <v>0</v>
      </c>
      <c r="J393" s="18" t="n">
        <v>10</v>
      </c>
      <c r="K393" s="18" t="n">
        <v>315</v>
      </c>
      <c r="L393" s="18" t="n">
        <v>341</v>
      </c>
      <c r="M393" s="18" t="n">
        <v>325</v>
      </c>
      <c r="N393" s="18" t="n">
        <v>307</v>
      </c>
      <c r="O393" s="18" t="n">
        <v>341</v>
      </c>
      <c r="P393" s="18" t="n">
        <v>323</v>
      </c>
      <c r="Q393" s="18" t="n">
        <v>32</v>
      </c>
      <c r="R393" s="18" t="n">
        <v>35</v>
      </c>
      <c r="S393" s="18" t="n">
        <v>33</v>
      </c>
      <c r="T393" s="18" t="n">
        <v>31</v>
      </c>
      <c r="U393" s="18" t="n">
        <v>35</v>
      </c>
      <c r="V393" s="18" t="n">
        <v>33</v>
      </c>
      <c r="W393" s="20" t="n"/>
      <c r="X393" s="20" t="n"/>
      <c r="Y393" s="20" t="n"/>
      <c r="Z393" s="20" t="n"/>
      <c r="AA393" s="20" t="n"/>
      <c r="AB393" s="20" t="n"/>
      <c r="AC393" s="21">
        <f>IF(W393="","",W393-K393)</f>
        <v/>
      </c>
      <c r="AD393" s="21">
        <f>IF(X393="","",X393-L393)</f>
        <v/>
      </c>
      <c r="AE393" s="21">
        <f>IF(Y393="","",Y393-M393)</f>
        <v/>
      </c>
      <c r="AF393" s="21">
        <f>IF(Z393="","",Z393-N393)</f>
        <v/>
      </c>
      <c r="AG393" s="21">
        <f>IF(AA393="","",AA393-O393)</f>
        <v/>
      </c>
      <c r="AH393" s="21">
        <f>IF(AB393="","",AB393-P393)</f>
        <v/>
      </c>
      <c r="AI393" s="18">
        <f>IF(COUNTA(W393:AB393)=0,"未入力",IF(COUNTA(W393:AB393)&lt;6,"一部入力",IF(COUNTIF(AC393:AH393,0)=6,"一致","差分あり")))</f>
        <v/>
      </c>
      <c r="AJ3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3" s="19" t="inlineStr"/>
      <c r="AL393" s="18" t="inlineStr">
        <is>
          <t>2026-06-29</t>
        </is>
      </c>
    </row>
    <row r="394" ht="22" customHeight="1">
      <c r="A394" s="17" t="inlineStr">
        <is>
          <t>1005102-LB10</t>
        </is>
      </c>
      <c r="B394" s="18" t="n">
        <v>1005102</v>
      </c>
      <c r="C394" s="17" t="inlineStr">
        <is>
          <t>MNikaido02</t>
        </is>
      </c>
      <c r="D394" s="17" t="inlineStr">
        <is>
          <t>MNikaido</t>
        </is>
      </c>
      <c r="E394" s="17" t="inlineStr">
        <is>
          <t>二階堂 三郷</t>
        </is>
      </c>
      <c r="F394" s="19" t="inlineStr">
        <is>
          <t>今昔の感、想いは往きて</t>
        </is>
      </c>
      <c r="G394" s="18" t="inlineStr">
        <is>
          <t>S</t>
        </is>
      </c>
      <c r="H394" s="17" t="inlineStr">
        <is>
          <t>Attacker</t>
        </is>
      </c>
      <c r="I394" s="18" t="n">
        <v>10</v>
      </c>
      <c r="J394" s="18" t="n">
        <v>10</v>
      </c>
      <c r="K394" s="18" t="n">
        <v>383</v>
      </c>
      <c r="L394" s="18" t="n">
        <v>408</v>
      </c>
      <c r="M394" s="18" t="n">
        <v>393</v>
      </c>
      <c r="N394" s="18" t="n">
        <v>373</v>
      </c>
      <c r="O394" s="18" t="n">
        <v>405</v>
      </c>
      <c r="P394" s="18" t="n">
        <v>389</v>
      </c>
      <c r="Q394" s="18" t="n">
        <v>39</v>
      </c>
      <c r="R394" s="18" t="n">
        <v>41</v>
      </c>
      <c r="S394" s="18" t="n">
        <v>40</v>
      </c>
      <c r="T394" s="18" t="n">
        <v>38</v>
      </c>
      <c r="U394" s="18" t="n">
        <v>41</v>
      </c>
      <c r="V394" s="18" t="n">
        <v>39</v>
      </c>
      <c r="W394" s="20" t="n"/>
      <c r="X394" s="20" t="n"/>
      <c r="Y394" s="20" t="n"/>
      <c r="Z394" s="20" t="n"/>
      <c r="AA394" s="20" t="n"/>
      <c r="AB394" s="20" t="n"/>
      <c r="AC394" s="21">
        <f>IF(W394="","",W394-K394)</f>
        <v/>
      </c>
      <c r="AD394" s="21">
        <f>IF(X394="","",X394-L394)</f>
        <v/>
      </c>
      <c r="AE394" s="21">
        <f>IF(Y394="","",Y394-M394)</f>
        <v/>
      </c>
      <c r="AF394" s="21">
        <f>IF(Z394="","",Z394-N394)</f>
        <v/>
      </c>
      <c r="AG394" s="21">
        <f>IF(AA394="","",AA394-O394)</f>
        <v/>
      </c>
      <c r="AH394" s="21">
        <f>IF(AB394="","",AB394-P394)</f>
        <v/>
      </c>
      <c r="AI394" s="18">
        <f>IF(COUNTA(W394:AB394)=0,"未入力",IF(COUNTA(W394:AB394)&lt;6,"一部入力",IF(COUNTIF(AC394:AH394,0)=6,"一致","差分あり")))</f>
        <v/>
      </c>
      <c r="AJ3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4" s="19" t="inlineStr"/>
      <c r="AL394" s="18" t="inlineStr">
        <is>
          <t>2026-06-29</t>
        </is>
      </c>
    </row>
    <row r="395" ht="22" customHeight="1">
      <c r="A395" s="17" t="inlineStr">
        <is>
          <t>1005103-LB0</t>
        </is>
      </c>
      <c r="B395" s="18" t="n">
        <v>1005103</v>
      </c>
      <c r="C395" s="17" t="inlineStr">
        <is>
          <t>MNikaido03</t>
        </is>
      </c>
      <c r="D395" s="17" t="inlineStr">
        <is>
          <t>MNikaido</t>
        </is>
      </c>
      <c r="E395" s="17" t="inlineStr">
        <is>
          <t>二階堂 三郷</t>
        </is>
      </c>
      <c r="F395" s="19" t="inlineStr">
        <is>
          <t>無上の終局</t>
        </is>
      </c>
      <c r="G395" s="18" t="inlineStr">
        <is>
          <t>SS</t>
        </is>
      </c>
      <c r="H395" s="17" t="inlineStr">
        <is>
          <t>Attacker</t>
        </is>
      </c>
      <c r="I395" s="18" t="n">
        <v>0</v>
      </c>
      <c r="J395" s="18" t="n">
        <v>4</v>
      </c>
      <c r="K395" s="18" t="n">
        <v>424</v>
      </c>
      <c r="L395" s="18" t="n">
        <v>336</v>
      </c>
      <c r="M395" s="18" t="n">
        <v>373</v>
      </c>
      <c r="N395" s="18" t="n">
        <v>378</v>
      </c>
      <c r="O395" s="18" t="n">
        <v>368</v>
      </c>
      <c r="P395" s="18" t="n">
        <v>396</v>
      </c>
      <c r="Q395" s="18" t="n">
        <v>43</v>
      </c>
      <c r="R395" s="18" t="n">
        <v>34</v>
      </c>
      <c r="S395" s="18" t="n">
        <v>38</v>
      </c>
      <c r="T395" s="18" t="n">
        <v>38</v>
      </c>
      <c r="U395" s="18" t="n">
        <v>37</v>
      </c>
      <c r="V395" s="18" t="n">
        <v>40</v>
      </c>
      <c r="W395" s="20" t="n"/>
      <c r="X395" s="20" t="n"/>
      <c r="Y395" s="20" t="n"/>
      <c r="Z395" s="20" t="n"/>
      <c r="AA395" s="20" t="n"/>
      <c r="AB395" s="20" t="n"/>
      <c r="AC395" s="21">
        <f>IF(W395="","",W395-K395)</f>
        <v/>
      </c>
      <c r="AD395" s="21">
        <f>IF(X395="","",X395-L395)</f>
        <v/>
      </c>
      <c r="AE395" s="21">
        <f>IF(Y395="","",Y395-M395)</f>
        <v/>
      </c>
      <c r="AF395" s="21">
        <f>IF(Z395="","",Z395-N395)</f>
        <v/>
      </c>
      <c r="AG395" s="21">
        <f>IF(AA395="","",AA395-O395)</f>
        <v/>
      </c>
      <c r="AH395" s="21">
        <f>IF(AB395="","",AB395-P395)</f>
        <v/>
      </c>
      <c r="AI395" s="18">
        <f>IF(COUNTA(W395:AB395)=0,"未入力",IF(COUNTA(W395:AB395)&lt;6,"一部入力",IF(COUNTIF(AC395:AH395,0)=6,"一致","差分あり")))</f>
        <v/>
      </c>
      <c r="AJ3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5" s="19" t="inlineStr"/>
      <c r="AL395" s="18" t="inlineStr">
        <is>
          <t>2026-06-29</t>
        </is>
      </c>
    </row>
    <row r="396" ht="22" customHeight="1">
      <c r="A396" s="17" t="inlineStr">
        <is>
          <t>1005103-LB4</t>
        </is>
      </c>
      <c r="B396" s="18" t="n">
        <v>1005103</v>
      </c>
      <c r="C396" s="17" t="inlineStr">
        <is>
          <t>MNikaido03</t>
        </is>
      </c>
      <c r="D396" s="17" t="inlineStr">
        <is>
          <t>MNikaido</t>
        </is>
      </c>
      <c r="E396" s="17" t="inlineStr">
        <is>
          <t>二階堂 三郷</t>
        </is>
      </c>
      <c r="F396" s="19" t="inlineStr">
        <is>
          <t>無上の終局</t>
        </is>
      </c>
      <c r="G396" s="18" t="inlineStr">
        <is>
          <t>SS</t>
        </is>
      </c>
      <c r="H396" s="17" t="inlineStr">
        <is>
          <t>Attacker</t>
        </is>
      </c>
      <c r="I396" s="18" t="n">
        <v>4</v>
      </c>
      <c r="J396" s="18" t="n">
        <v>4</v>
      </c>
      <c r="K396" s="18" t="n">
        <v>514</v>
      </c>
      <c r="L396" s="18" t="n">
        <v>422</v>
      </c>
      <c r="M396" s="18" t="n">
        <v>463</v>
      </c>
      <c r="N396" s="18" t="n">
        <v>466</v>
      </c>
      <c r="O396" s="18" t="n">
        <v>453</v>
      </c>
      <c r="P396" s="18" t="n">
        <v>485</v>
      </c>
      <c r="Q396" s="18" t="n">
        <v>52</v>
      </c>
      <c r="R396" s="18" t="n">
        <v>43</v>
      </c>
      <c r="S396" s="18" t="n">
        <v>47</v>
      </c>
      <c r="T396" s="18" t="n">
        <v>47</v>
      </c>
      <c r="U396" s="18" t="n">
        <v>46</v>
      </c>
      <c r="V396" s="18" t="n">
        <v>49</v>
      </c>
      <c r="W396" s="20" t="n"/>
      <c r="X396" s="20" t="n"/>
      <c r="Y396" s="20" t="n"/>
      <c r="Z396" s="20" t="n"/>
      <c r="AA396" s="20" t="n"/>
      <c r="AB396" s="20" t="n"/>
      <c r="AC396" s="21">
        <f>IF(W396="","",W396-K396)</f>
        <v/>
      </c>
      <c r="AD396" s="21">
        <f>IF(X396="","",X396-L396)</f>
        <v/>
      </c>
      <c r="AE396" s="21">
        <f>IF(Y396="","",Y396-M396)</f>
        <v/>
      </c>
      <c r="AF396" s="21">
        <f>IF(Z396="","",Z396-N396)</f>
        <v/>
      </c>
      <c r="AG396" s="21">
        <f>IF(AA396="","",AA396-O396)</f>
        <v/>
      </c>
      <c r="AH396" s="21">
        <f>IF(AB396="","",AB396-P396)</f>
        <v/>
      </c>
      <c r="AI396" s="18">
        <f>IF(COUNTA(W396:AB396)=0,"未入力",IF(COUNTA(W396:AB396)&lt;6,"一部入力",IF(COUNTIF(AC396:AH396,0)=6,"一致","差分あり")))</f>
        <v/>
      </c>
      <c r="AJ3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6" s="19" t="inlineStr"/>
      <c r="AL396" s="18" t="inlineStr">
        <is>
          <t>2026-06-29</t>
        </is>
      </c>
    </row>
    <row r="397" ht="22" customHeight="1">
      <c r="A397" s="17" t="inlineStr">
        <is>
          <t>1005104-LB0</t>
        </is>
      </c>
      <c r="B397" s="18" t="n">
        <v>1005104</v>
      </c>
      <c r="C397" s="17" t="inlineStr">
        <is>
          <t>MNikaido04</t>
        </is>
      </c>
      <c r="D397" s="17" t="inlineStr">
        <is>
          <t>MNikaido</t>
        </is>
      </c>
      <c r="E397" s="17" t="inlineStr">
        <is>
          <t>二階堂 三郷</t>
        </is>
      </c>
      <c r="F397" s="19" t="inlineStr">
        <is>
          <t>Holiday Ring a Bell</t>
        </is>
      </c>
      <c r="G397" s="18" t="inlineStr">
        <is>
          <t>SS</t>
        </is>
      </c>
      <c r="H397" s="17" t="inlineStr">
        <is>
          <t>Attacker</t>
        </is>
      </c>
      <c r="I397" s="18" t="n">
        <v>0</v>
      </c>
      <c r="J397" s="18" t="n">
        <v>4</v>
      </c>
      <c r="K397" s="18" t="n">
        <v>446</v>
      </c>
      <c r="L397" s="18" t="n">
        <v>358</v>
      </c>
      <c r="M397" s="18" t="n">
        <v>395</v>
      </c>
      <c r="N397" s="18" t="n">
        <v>400</v>
      </c>
      <c r="O397" s="18" t="n">
        <v>389</v>
      </c>
      <c r="P397" s="18" t="n">
        <v>419</v>
      </c>
      <c r="Q397" s="18" t="n">
        <v>45</v>
      </c>
      <c r="R397" s="18" t="n">
        <v>36</v>
      </c>
      <c r="S397" s="18" t="n">
        <v>40</v>
      </c>
      <c r="T397" s="18" t="n">
        <v>40</v>
      </c>
      <c r="U397" s="18" t="n">
        <v>39</v>
      </c>
      <c r="V397" s="18" t="n">
        <v>42</v>
      </c>
      <c r="W397" s="20" t="n"/>
      <c r="X397" s="20" t="n"/>
      <c r="Y397" s="20" t="n"/>
      <c r="Z397" s="20" t="n"/>
      <c r="AA397" s="20" t="n"/>
      <c r="AB397" s="20" t="n"/>
      <c r="AC397" s="21">
        <f>IF(W397="","",W397-K397)</f>
        <v/>
      </c>
      <c r="AD397" s="21">
        <f>IF(X397="","",X397-L397)</f>
        <v/>
      </c>
      <c r="AE397" s="21">
        <f>IF(Y397="","",Y397-M397)</f>
        <v/>
      </c>
      <c r="AF397" s="21">
        <f>IF(Z397="","",Z397-N397)</f>
        <v/>
      </c>
      <c r="AG397" s="21">
        <f>IF(AA397="","",AA397-O397)</f>
        <v/>
      </c>
      <c r="AH397" s="21">
        <f>IF(AB397="","",AB397-P397)</f>
        <v/>
      </c>
      <c r="AI397" s="18">
        <f>IF(COUNTA(W397:AB397)=0,"未入力",IF(COUNTA(W397:AB397)&lt;6,"一部入力",IF(COUNTIF(AC397:AH397,0)=6,"一致","差分あり")))</f>
        <v/>
      </c>
      <c r="AJ3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7" s="19" t="inlineStr"/>
      <c r="AL397" s="18" t="inlineStr">
        <is>
          <t>2026-06-29</t>
        </is>
      </c>
    </row>
    <row r="398" ht="22" customHeight="1">
      <c r="A398" s="17" t="inlineStr">
        <is>
          <t>1005104-LB4</t>
        </is>
      </c>
      <c r="B398" s="18" t="n">
        <v>1005104</v>
      </c>
      <c r="C398" s="17" t="inlineStr">
        <is>
          <t>MNikaido04</t>
        </is>
      </c>
      <c r="D398" s="17" t="inlineStr">
        <is>
          <t>MNikaido</t>
        </is>
      </c>
      <c r="E398" s="17" t="inlineStr">
        <is>
          <t>二階堂 三郷</t>
        </is>
      </c>
      <c r="F398" s="19" t="inlineStr">
        <is>
          <t>Holiday Ring a Bell</t>
        </is>
      </c>
      <c r="G398" s="18" t="inlineStr">
        <is>
          <t>SS</t>
        </is>
      </c>
      <c r="H398" s="17" t="inlineStr">
        <is>
          <t>Attacker</t>
        </is>
      </c>
      <c r="I398" s="18" t="n">
        <v>4</v>
      </c>
      <c r="J398" s="18" t="n">
        <v>4</v>
      </c>
      <c r="K398" s="18" t="n">
        <v>537</v>
      </c>
      <c r="L398" s="18" t="n">
        <v>444</v>
      </c>
      <c r="M398" s="18" t="n">
        <v>485</v>
      </c>
      <c r="N398" s="18" t="n">
        <v>488</v>
      </c>
      <c r="O398" s="18" t="n">
        <v>474</v>
      </c>
      <c r="P398" s="18" t="n">
        <v>508</v>
      </c>
      <c r="Q398" s="18" t="n">
        <v>54</v>
      </c>
      <c r="R398" s="18" t="n">
        <v>45</v>
      </c>
      <c r="S398" s="18" t="n">
        <v>49</v>
      </c>
      <c r="T398" s="18" t="n">
        <v>49</v>
      </c>
      <c r="U398" s="18" t="n">
        <v>48</v>
      </c>
      <c r="V398" s="18" t="n">
        <v>51</v>
      </c>
      <c r="W398" s="20" t="n"/>
      <c r="X398" s="20" t="n"/>
      <c r="Y398" s="20" t="n"/>
      <c r="Z398" s="20" t="n"/>
      <c r="AA398" s="20" t="n"/>
      <c r="AB398" s="20" t="n"/>
      <c r="AC398" s="21">
        <f>IF(W398="","",W398-K398)</f>
        <v/>
      </c>
      <c r="AD398" s="21">
        <f>IF(X398="","",X398-L398)</f>
        <v/>
      </c>
      <c r="AE398" s="21">
        <f>IF(Y398="","",Y398-M398)</f>
        <v/>
      </c>
      <c r="AF398" s="21">
        <f>IF(Z398="","",Z398-N398)</f>
        <v/>
      </c>
      <c r="AG398" s="21">
        <f>IF(AA398="","",AA398-O398)</f>
        <v/>
      </c>
      <c r="AH398" s="21">
        <f>IF(AB398="","",AB398-P398)</f>
        <v/>
      </c>
      <c r="AI398" s="18">
        <f>IF(COUNTA(W398:AB398)=0,"未入力",IF(COUNTA(W398:AB398)&lt;6,"一部入力",IF(COUNTIF(AC398:AH398,0)=6,"一致","差分あり")))</f>
        <v/>
      </c>
      <c r="AJ3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8" s="19" t="inlineStr"/>
      <c r="AL398" s="18" t="inlineStr">
        <is>
          <t>2026-06-29</t>
        </is>
      </c>
    </row>
    <row r="399" ht="22" customHeight="1">
      <c r="A399" s="17" t="inlineStr">
        <is>
          <t>1005105-LB0</t>
        </is>
      </c>
      <c r="B399" s="18" t="n">
        <v>1005105</v>
      </c>
      <c r="C399" s="17" t="inlineStr">
        <is>
          <t>MNikaido05</t>
        </is>
      </c>
      <c r="D399" s="17" t="inlineStr">
        <is>
          <t>MNikaido</t>
        </is>
      </c>
      <c r="E399" s="17" t="inlineStr">
        <is>
          <t>二階堂 三郷</t>
        </is>
      </c>
      <c r="F399" s="19" t="inlineStr">
        <is>
          <t>スイート・メロウタイム</t>
        </is>
      </c>
      <c r="G399" s="18" t="inlineStr">
        <is>
          <t>S</t>
        </is>
      </c>
      <c r="H399" s="17" t="inlineStr">
        <is>
          <t>Attacker</t>
        </is>
      </c>
      <c r="I399" s="18" t="n">
        <v>0</v>
      </c>
      <c r="J399" s="18" t="n">
        <v>10</v>
      </c>
      <c r="K399" s="18" t="n">
        <v>357</v>
      </c>
      <c r="L399" s="18" t="n">
        <v>301</v>
      </c>
      <c r="M399" s="18" t="n">
        <v>314</v>
      </c>
      <c r="N399" s="18" t="n">
        <v>318</v>
      </c>
      <c r="O399" s="18" t="n">
        <v>309</v>
      </c>
      <c r="P399" s="18" t="n">
        <v>356</v>
      </c>
      <c r="Q399" s="18" t="n">
        <v>36</v>
      </c>
      <c r="R399" s="18" t="n">
        <v>31</v>
      </c>
      <c r="S399" s="18" t="n">
        <v>32</v>
      </c>
      <c r="T399" s="18" t="n">
        <v>32</v>
      </c>
      <c r="U399" s="18" t="n">
        <v>31</v>
      </c>
      <c r="V399" s="18" t="n">
        <v>36</v>
      </c>
      <c r="W399" s="20" t="n"/>
      <c r="X399" s="20" t="n"/>
      <c r="Y399" s="20" t="n"/>
      <c r="Z399" s="20" t="n"/>
      <c r="AA399" s="20" t="n"/>
      <c r="AB399" s="20" t="n"/>
      <c r="AC399" s="21">
        <f>IF(W399="","",W399-K399)</f>
        <v/>
      </c>
      <c r="AD399" s="21">
        <f>IF(X399="","",X399-L399)</f>
        <v/>
      </c>
      <c r="AE399" s="21">
        <f>IF(Y399="","",Y399-M399)</f>
        <v/>
      </c>
      <c r="AF399" s="21">
        <f>IF(Z399="","",Z399-N399)</f>
        <v/>
      </c>
      <c r="AG399" s="21">
        <f>IF(AA399="","",AA399-O399)</f>
        <v/>
      </c>
      <c r="AH399" s="21">
        <f>IF(AB399="","",AB399-P399)</f>
        <v/>
      </c>
      <c r="AI399" s="18">
        <f>IF(COUNTA(W399:AB399)=0,"未入力",IF(COUNTA(W399:AB399)&lt;6,"一部入力",IF(COUNTIF(AC399:AH399,0)=6,"一致","差分あり")))</f>
        <v/>
      </c>
      <c r="AJ3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399" s="19" t="inlineStr"/>
      <c r="AL399" s="18" t="inlineStr">
        <is>
          <t>2026-06-29</t>
        </is>
      </c>
    </row>
    <row r="400" ht="22" customHeight="1">
      <c r="A400" s="17" t="inlineStr">
        <is>
          <t>1005105-LB10</t>
        </is>
      </c>
      <c r="B400" s="18" t="n">
        <v>1005105</v>
      </c>
      <c r="C400" s="17" t="inlineStr">
        <is>
          <t>MNikaido05</t>
        </is>
      </c>
      <c r="D400" s="17" t="inlineStr">
        <is>
          <t>MNikaido</t>
        </is>
      </c>
      <c r="E400" s="17" t="inlineStr">
        <is>
          <t>二階堂 三郷</t>
        </is>
      </c>
      <c r="F400" s="19" t="inlineStr">
        <is>
          <t>スイート・メロウタイム</t>
        </is>
      </c>
      <c r="G400" s="18" t="inlineStr">
        <is>
          <t>S</t>
        </is>
      </c>
      <c r="H400" s="17" t="inlineStr">
        <is>
          <t>Attacker</t>
        </is>
      </c>
      <c r="I400" s="18" t="n">
        <v>10</v>
      </c>
      <c r="J400" s="18" t="n">
        <v>10</v>
      </c>
      <c r="K400" s="18" t="n">
        <v>428</v>
      </c>
      <c r="L400" s="18" t="n">
        <v>365</v>
      </c>
      <c r="M400" s="18" t="n">
        <v>381</v>
      </c>
      <c r="N400" s="18" t="n">
        <v>384</v>
      </c>
      <c r="O400" s="18" t="n">
        <v>373</v>
      </c>
      <c r="P400" s="18" t="n">
        <v>423</v>
      </c>
      <c r="Q400" s="18" t="n">
        <v>43</v>
      </c>
      <c r="R400" s="18" t="n">
        <v>37</v>
      </c>
      <c r="S400" s="18" t="n">
        <v>39</v>
      </c>
      <c r="T400" s="18" t="n">
        <v>39</v>
      </c>
      <c r="U400" s="18" t="n">
        <v>38</v>
      </c>
      <c r="V400" s="18" t="n">
        <v>43</v>
      </c>
      <c r="W400" s="20" t="n"/>
      <c r="X400" s="20" t="n"/>
      <c r="Y400" s="20" t="n"/>
      <c r="Z400" s="20" t="n"/>
      <c r="AA400" s="20" t="n"/>
      <c r="AB400" s="20" t="n"/>
      <c r="AC400" s="21">
        <f>IF(W400="","",W400-K400)</f>
        <v/>
      </c>
      <c r="AD400" s="21">
        <f>IF(X400="","",X400-L400)</f>
        <v/>
      </c>
      <c r="AE400" s="21">
        <f>IF(Y400="","",Y400-M400)</f>
        <v/>
      </c>
      <c r="AF400" s="21">
        <f>IF(Z400="","",Z400-N400)</f>
        <v/>
      </c>
      <c r="AG400" s="21">
        <f>IF(AA400="","",AA400-O400)</f>
        <v/>
      </c>
      <c r="AH400" s="21">
        <f>IF(AB400="","",AB400-P400)</f>
        <v/>
      </c>
      <c r="AI400" s="18">
        <f>IF(COUNTA(W400:AB400)=0,"未入力",IF(COUNTA(W400:AB400)&lt;6,"一部入力",IF(COUNTIF(AC400:AH400,0)=6,"一致","差分あり")))</f>
        <v/>
      </c>
      <c r="AJ4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0" s="19" t="inlineStr"/>
      <c r="AL400" s="18" t="inlineStr">
        <is>
          <t>2026-06-29</t>
        </is>
      </c>
    </row>
    <row r="401" ht="22" customHeight="1">
      <c r="A401" s="17" t="inlineStr">
        <is>
          <t>1005106-LB0</t>
        </is>
      </c>
      <c r="B401" s="18" t="n">
        <v>1005106</v>
      </c>
      <c r="C401" s="17" t="inlineStr">
        <is>
          <t>MNikaido06</t>
        </is>
      </c>
      <c r="D401" s="17" t="inlineStr">
        <is>
          <t>MNikaido</t>
        </is>
      </c>
      <c r="E401" s="17" t="inlineStr">
        <is>
          <t>二階堂 三郷</t>
        </is>
      </c>
      <c r="F401" s="19" t="inlineStr">
        <is>
          <t>Lead by Example</t>
        </is>
      </c>
      <c r="G401" s="18" t="inlineStr">
        <is>
          <t>SSR</t>
        </is>
      </c>
      <c r="H401" s="17" t="inlineStr">
        <is>
          <t>Debuffer</t>
        </is>
      </c>
      <c r="I401" s="18" t="n">
        <v>0</v>
      </c>
      <c r="J401" s="18" t="n">
        <v>4</v>
      </c>
      <c r="K401" s="18" t="n">
        <v>410</v>
      </c>
      <c r="L401" s="18" t="n">
        <v>392</v>
      </c>
      <c r="M401" s="18" t="n">
        <v>444</v>
      </c>
      <c r="N401" s="18" t="n">
        <v>413</v>
      </c>
      <c r="O401" s="18" t="n">
        <v>376</v>
      </c>
      <c r="P401" s="18" t="n">
        <v>370</v>
      </c>
      <c r="Q401" s="18" t="n">
        <v>41</v>
      </c>
      <c r="R401" s="18" t="n">
        <v>40</v>
      </c>
      <c r="S401" s="18" t="n">
        <v>45</v>
      </c>
      <c r="T401" s="18" t="n">
        <v>42</v>
      </c>
      <c r="U401" s="18" t="n">
        <v>38</v>
      </c>
      <c r="V401" s="18" t="n">
        <v>37</v>
      </c>
      <c r="W401" s="20" t="n"/>
      <c r="X401" s="20" t="n"/>
      <c r="Y401" s="20" t="n"/>
      <c r="Z401" s="20" t="n"/>
      <c r="AA401" s="20" t="n"/>
      <c r="AB401" s="20" t="n"/>
      <c r="AC401" s="21">
        <f>IF(W401="","",W401-K401)</f>
        <v/>
      </c>
      <c r="AD401" s="21">
        <f>IF(X401="","",X401-L401)</f>
        <v/>
      </c>
      <c r="AE401" s="21">
        <f>IF(Y401="","",Y401-M401)</f>
        <v/>
      </c>
      <c r="AF401" s="21">
        <f>IF(Z401="","",Z401-N401)</f>
        <v/>
      </c>
      <c r="AG401" s="21">
        <f>IF(AA401="","",AA401-O401)</f>
        <v/>
      </c>
      <c r="AH401" s="21">
        <f>IF(AB401="","",AB401-P401)</f>
        <v/>
      </c>
      <c r="AI401" s="18">
        <f>IF(COUNTA(W401:AB401)=0,"未入力",IF(COUNTA(W401:AB401)&lt;6,"一部入力",IF(COUNTIF(AC401:AH401,0)=6,"一致","差分あり")))</f>
        <v/>
      </c>
      <c r="AJ4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1" s="19" t="inlineStr"/>
      <c r="AL401" s="18" t="inlineStr">
        <is>
          <t>2026-06-29</t>
        </is>
      </c>
    </row>
    <row r="402" ht="22" customHeight="1">
      <c r="A402" s="17" t="inlineStr">
        <is>
          <t>1005106-LB4</t>
        </is>
      </c>
      <c r="B402" s="18" t="n">
        <v>1005106</v>
      </c>
      <c r="C402" s="17" t="inlineStr">
        <is>
          <t>MNikaido06</t>
        </is>
      </c>
      <c r="D402" s="17" t="inlineStr">
        <is>
          <t>MNikaido</t>
        </is>
      </c>
      <c r="E402" s="17" t="inlineStr">
        <is>
          <t>二階堂 三郷</t>
        </is>
      </c>
      <c r="F402" s="19" t="inlineStr">
        <is>
          <t>Lead by Example</t>
        </is>
      </c>
      <c r="G402" s="18" t="inlineStr">
        <is>
          <t>SSR</t>
        </is>
      </c>
      <c r="H402" s="17" t="inlineStr">
        <is>
          <t>Debuffer</t>
        </is>
      </c>
      <c r="I402" s="18" t="n">
        <v>4</v>
      </c>
      <c r="J402" s="18" t="n">
        <v>4</v>
      </c>
      <c r="K402" s="18" t="n">
        <v>501</v>
      </c>
      <c r="L402" s="18" t="n">
        <v>478</v>
      </c>
      <c r="M402" s="18" t="n">
        <v>534</v>
      </c>
      <c r="N402" s="18" t="n">
        <v>501</v>
      </c>
      <c r="O402" s="18" t="n">
        <v>461</v>
      </c>
      <c r="P402" s="18" t="n">
        <v>459</v>
      </c>
      <c r="Q402" s="18" t="n">
        <v>51</v>
      </c>
      <c r="R402" s="18" t="n">
        <v>48</v>
      </c>
      <c r="S402" s="18" t="n">
        <v>54</v>
      </c>
      <c r="T402" s="18" t="n">
        <v>51</v>
      </c>
      <c r="U402" s="18" t="n">
        <v>47</v>
      </c>
      <c r="V402" s="18" t="n">
        <v>46</v>
      </c>
      <c r="W402" s="20" t="n"/>
      <c r="X402" s="20" t="n"/>
      <c r="Y402" s="20" t="n"/>
      <c r="Z402" s="20" t="n"/>
      <c r="AA402" s="20" t="n"/>
      <c r="AB402" s="20" t="n"/>
      <c r="AC402" s="21">
        <f>IF(W402="","",W402-K402)</f>
        <v/>
      </c>
      <c r="AD402" s="21">
        <f>IF(X402="","",X402-L402)</f>
        <v/>
      </c>
      <c r="AE402" s="21">
        <f>IF(Y402="","",Y402-M402)</f>
        <v/>
      </c>
      <c r="AF402" s="21">
        <f>IF(Z402="","",Z402-N402)</f>
        <v/>
      </c>
      <c r="AG402" s="21">
        <f>IF(AA402="","",AA402-O402)</f>
        <v/>
      </c>
      <c r="AH402" s="21">
        <f>IF(AB402="","",AB402-P402)</f>
        <v/>
      </c>
      <c r="AI402" s="18">
        <f>IF(COUNTA(W402:AB402)=0,"未入力",IF(COUNTA(W402:AB402)&lt;6,"一部入力",IF(COUNTIF(AC402:AH402,0)=6,"一致","差分あり")))</f>
        <v/>
      </c>
      <c r="AJ4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2" s="19" t="inlineStr"/>
      <c r="AL402" s="18" t="inlineStr">
        <is>
          <t>2026-06-29</t>
        </is>
      </c>
    </row>
    <row r="403" ht="22" customHeight="1">
      <c r="A403" s="17" t="inlineStr">
        <is>
          <t>1005107-LB0</t>
        </is>
      </c>
      <c r="B403" s="18" t="n">
        <v>1005107</v>
      </c>
      <c r="C403" s="17" t="inlineStr">
        <is>
          <t>MNikaido07</t>
        </is>
      </c>
      <c r="D403" s="17" t="inlineStr">
        <is>
          <t>MNikaido</t>
        </is>
      </c>
      <c r="E403" s="17" t="inlineStr">
        <is>
          <t>二階堂 三郷</t>
        </is>
      </c>
      <c r="F403" s="19" t="inlineStr">
        <is>
          <t>アオゾラ全力応援歌</t>
        </is>
      </c>
      <c r="G403" s="18" t="inlineStr">
        <is>
          <t>SSR</t>
        </is>
      </c>
      <c r="H403" s="17" t="inlineStr">
        <is>
          <t>Admiral</t>
        </is>
      </c>
      <c r="I403" s="18" t="n">
        <v>0</v>
      </c>
      <c r="J403" s="18" t="n">
        <v>4</v>
      </c>
      <c r="K403" s="18" t="n">
        <v>410</v>
      </c>
      <c r="L403" s="18" t="n">
        <v>392</v>
      </c>
      <c r="M403" s="18" t="n">
        <v>444</v>
      </c>
      <c r="N403" s="18" t="n">
        <v>413</v>
      </c>
      <c r="O403" s="18" t="n">
        <v>376</v>
      </c>
      <c r="P403" s="18" t="n">
        <v>370</v>
      </c>
      <c r="Q403" s="18" t="n">
        <v>41</v>
      </c>
      <c r="R403" s="18" t="n">
        <v>40</v>
      </c>
      <c r="S403" s="18" t="n">
        <v>45</v>
      </c>
      <c r="T403" s="18" t="n">
        <v>42</v>
      </c>
      <c r="U403" s="18" t="n">
        <v>38</v>
      </c>
      <c r="V403" s="18" t="n">
        <v>37</v>
      </c>
      <c r="W403" s="20" t="n"/>
      <c r="X403" s="20" t="n"/>
      <c r="Y403" s="20" t="n"/>
      <c r="Z403" s="20" t="n"/>
      <c r="AA403" s="20" t="n"/>
      <c r="AB403" s="20" t="n"/>
      <c r="AC403" s="21">
        <f>IF(W403="","",W403-K403)</f>
        <v/>
      </c>
      <c r="AD403" s="21">
        <f>IF(X403="","",X403-L403)</f>
        <v/>
      </c>
      <c r="AE403" s="21">
        <f>IF(Y403="","",Y403-M403)</f>
        <v/>
      </c>
      <c r="AF403" s="21">
        <f>IF(Z403="","",Z403-N403)</f>
        <v/>
      </c>
      <c r="AG403" s="21">
        <f>IF(AA403="","",AA403-O403)</f>
        <v/>
      </c>
      <c r="AH403" s="21">
        <f>IF(AB403="","",AB403-P403)</f>
        <v/>
      </c>
      <c r="AI403" s="18">
        <f>IF(COUNTA(W403:AB403)=0,"未入力",IF(COUNTA(W403:AB403)&lt;6,"一部入力",IF(COUNTIF(AC403:AH403,0)=6,"一致","差分あり")))</f>
        <v/>
      </c>
      <c r="AJ4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3" s="19" t="inlineStr"/>
      <c r="AL403" s="18" t="inlineStr">
        <is>
          <t>2026-06-29</t>
        </is>
      </c>
    </row>
    <row r="404" ht="22" customHeight="1">
      <c r="A404" s="17" t="inlineStr">
        <is>
          <t>1005107-LB4</t>
        </is>
      </c>
      <c r="B404" s="18" t="n">
        <v>1005107</v>
      </c>
      <c r="C404" s="17" t="inlineStr">
        <is>
          <t>MNikaido07</t>
        </is>
      </c>
      <c r="D404" s="17" t="inlineStr">
        <is>
          <t>MNikaido</t>
        </is>
      </c>
      <c r="E404" s="17" t="inlineStr">
        <is>
          <t>二階堂 三郷</t>
        </is>
      </c>
      <c r="F404" s="19" t="inlineStr">
        <is>
          <t>アオゾラ全力応援歌</t>
        </is>
      </c>
      <c r="G404" s="18" t="inlineStr">
        <is>
          <t>SSR</t>
        </is>
      </c>
      <c r="H404" s="17" t="inlineStr">
        <is>
          <t>Admiral</t>
        </is>
      </c>
      <c r="I404" s="18" t="n">
        <v>4</v>
      </c>
      <c r="J404" s="18" t="n">
        <v>4</v>
      </c>
      <c r="K404" s="18" t="n">
        <v>501</v>
      </c>
      <c r="L404" s="18" t="n">
        <v>478</v>
      </c>
      <c r="M404" s="18" t="n">
        <v>534</v>
      </c>
      <c r="N404" s="18" t="n">
        <v>501</v>
      </c>
      <c r="O404" s="18" t="n">
        <v>461</v>
      </c>
      <c r="P404" s="18" t="n">
        <v>459</v>
      </c>
      <c r="Q404" s="18" t="n">
        <v>51</v>
      </c>
      <c r="R404" s="18" t="n">
        <v>48</v>
      </c>
      <c r="S404" s="18" t="n">
        <v>54</v>
      </c>
      <c r="T404" s="18" t="n">
        <v>51</v>
      </c>
      <c r="U404" s="18" t="n">
        <v>47</v>
      </c>
      <c r="V404" s="18" t="n">
        <v>46</v>
      </c>
      <c r="W404" s="20" t="n"/>
      <c r="X404" s="20" t="n"/>
      <c r="Y404" s="20" t="n"/>
      <c r="Z404" s="20" t="n"/>
      <c r="AA404" s="20" t="n"/>
      <c r="AB404" s="20" t="n"/>
      <c r="AC404" s="21">
        <f>IF(W404="","",W404-K404)</f>
        <v/>
      </c>
      <c r="AD404" s="21">
        <f>IF(X404="","",X404-L404)</f>
        <v/>
      </c>
      <c r="AE404" s="21">
        <f>IF(Y404="","",Y404-M404)</f>
        <v/>
      </c>
      <c r="AF404" s="21">
        <f>IF(Z404="","",Z404-N404)</f>
        <v/>
      </c>
      <c r="AG404" s="21">
        <f>IF(AA404="","",AA404-O404)</f>
        <v/>
      </c>
      <c r="AH404" s="21">
        <f>IF(AB404="","",AB404-P404)</f>
        <v/>
      </c>
      <c r="AI404" s="18">
        <f>IF(COUNTA(W404:AB404)=0,"未入力",IF(COUNTA(W404:AB404)&lt;6,"一部入力",IF(COUNTIF(AC404:AH404,0)=6,"一致","差分あり")))</f>
        <v/>
      </c>
      <c r="AJ4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4" s="19" t="inlineStr"/>
      <c r="AL404" s="18" t="inlineStr">
        <is>
          <t>2026-06-29</t>
        </is>
      </c>
    </row>
    <row r="405" ht="22" customHeight="1">
      <c r="A405" s="17" t="inlineStr">
        <is>
          <t>1005201-LB0</t>
        </is>
      </c>
      <c r="B405" s="18" t="n">
        <v>1005201</v>
      </c>
      <c r="C405" s="17" t="inlineStr">
        <is>
          <t>IIshii01</t>
        </is>
      </c>
      <c r="D405" s="17" t="inlineStr">
        <is>
          <t>IIshii</t>
        </is>
      </c>
      <c r="E405" s="17" t="inlineStr">
        <is>
          <t>石井 色葉</t>
        </is>
      </c>
      <c r="F405" s="19" t="inlineStr">
        <is>
          <t>お気楽カラフル</t>
        </is>
      </c>
      <c r="G405" s="18" t="inlineStr">
        <is>
          <t>A</t>
        </is>
      </c>
      <c r="H405" s="17" t="inlineStr">
        <is>
          <t>Buffer</t>
        </is>
      </c>
      <c r="I405" s="18" t="n">
        <v>0</v>
      </c>
      <c r="J405" s="18" t="n">
        <v>20</v>
      </c>
      <c r="K405" s="18" t="n">
        <v>242</v>
      </c>
      <c r="L405" s="18" t="n">
        <v>288</v>
      </c>
      <c r="M405" s="18" t="n">
        <v>290</v>
      </c>
      <c r="N405" s="18" t="n">
        <v>250</v>
      </c>
      <c r="O405" s="18" t="n">
        <v>290</v>
      </c>
      <c r="P405" s="18" t="n">
        <v>274</v>
      </c>
      <c r="Q405" s="18" t="n">
        <v>25</v>
      </c>
      <c r="R405" s="18" t="n">
        <v>29</v>
      </c>
      <c r="S405" s="18" t="n">
        <v>29</v>
      </c>
      <c r="T405" s="18" t="n">
        <v>25</v>
      </c>
      <c r="U405" s="18" t="n">
        <v>29</v>
      </c>
      <c r="V405" s="18" t="n">
        <v>28</v>
      </c>
      <c r="W405" s="20" t="n"/>
      <c r="X405" s="20" t="n"/>
      <c r="Y405" s="20" t="n"/>
      <c r="Z405" s="20" t="n"/>
      <c r="AA405" s="20" t="n"/>
      <c r="AB405" s="20" t="n"/>
      <c r="AC405" s="21">
        <f>IF(W405="","",W405-K405)</f>
        <v/>
      </c>
      <c r="AD405" s="21">
        <f>IF(X405="","",X405-L405)</f>
        <v/>
      </c>
      <c r="AE405" s="21">
        <f>IF(Y405="","",Y405-M405)</f>
        <v/>
      </c>
      <c r="AF405" s="21">
        <f>IF(Z405="","",Z405-N405)</f>
        <v/>
      </c>
      <c r="AG405" s="21">
        <f>IF(AA405="","",AA405-O405)</f>
        <v/>
      </c>
      <c r="AH405" s="21">
        <f>IF(AB405="","",AB405-P405)</f>
        <v/>
      </c>
      <c r="AI405" s="18">
        <f>IF(COUNTA(W405:AB405)=0,"未入力",IF(COUNTA(W405:AB405)&lt;6,"一部入力",IF(COUNTIF(AC405:AH405,0)=6,"一致","差分あり")))</f>
        <v/>
      </c>
      <c r="AJ4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5" s="19" t="inlineStr"/>
      <c r="AL405" s="18" t="inlineStr">
        <is>
          <t>2026-06-29</t>
        </is>
      </c>
    </row>
    <row r="406" ht="22" customHeight="1">
      <c r="A406" s="17" t="inlineStr">
        <is>
          <t>1005201-LB20</t>
        </is>
      </c>
      <c r="B406" s="18" t="n">
        <v>1005201</v>
      </c>
      <c r="C406" s="17" t="inlineStr">
        <is>
          <t>IIshii01</t>
        </is>
      </c>
      <c r="D406" s="17" t="inlineStr">
        <is>
          <t>IIshii</t>
        </is>
      </c>
      <c r="E406" s="17" t="inlineStr">
        <is>
          <t>石井 色葉</t>
        </is>
      </c>
      <c r="F406" s="19" t="inlineStr">
        <is>
          <t>お気楽カラフル</t>
        </is>
      </c>
      <c r="G406" s="18" t="inlineStr">
        <is>
          <t>A</t>
        </is>
      </c>
      <c r="H406" s="17" t="inlineStr">
        <is>
          <t>Buffer</t>
        </is>
      </c>
      <c r="I406" s="18" t="n">
        <v>20</v>
      </c>
      <c r="J406" s="18" t="n">
        <v>20</v>
      </c>
      <c r="K406" s="18" t="n">
        <v>285</v>
      </c>
      <c r="L406" s="18" t="n">
        <v>332</v>
      </c>
      <c r="M406" s="18" t="n">
        <v>336</v>
      </c>
      <c r="N406" s="18" t="n">
        <v>294</v>
      </c>
      <c r="O406" s="18" t="n">
        <v>334</v>
      </c>
      <c r="P406" s="18" t="n">
        <v>317</v>
      </c>
      <c r="Q406" s="18" t="n">
        <v>29</v>
      </c>
      <c r="R406" s="18" t="n">
        <v>34</v>
      </c>
      <c r="S406" s="18" t="n">
        <v>34</v>
      </c>
      <c r="T406" s="18" t="n">
        <v>30</v>
      </c>
      <c r="U406" s="18" t="n">
        <v>34</v>
      </c>
      <c r="V406" s="18" t="n">
        <v>32</v>
      </c>
      <c r="W406" s="20" t="n"/>
      <c r="X406" s="20" t="n"/>
      <c r="Y406" s="20" t="n"/>
      <c r="Z406" s="20" t="n"/>
      <c r="AA406" s="20" t="n"/>
      <c r="AB406" s="20" t="n"/>
      <c r="AC406" s="21">
        <f>IF(W406="","",W406-K406)</f>
        <v/>
      </c>
      <c r="AD406" s="21">
        <f>IF(X406="","",X406-L406)</f>
        <v/>
      </c>
      <c r="AE406" s="21">
        <f>IF(Y406="","",Y406-M406)</f>
        <v/>
      </c>
      <c r="AF406" s="21">
        <f>IF(Z406="","",Z406-N406)</f>
        <v/>
      </c>
      <c r="AG406" s="21">
        <f>IF(AA406="","",AA406-O406)</f>
        <v/>
      </c>
      <c r="AH406" s="21">
        <f>IF(AB406="","",AB406-P406)</f>
        <v/>
      </c>
      <c r="AI406" s="18">
        <f>IF(COUNTA(W406:AB406)=0,"未入力",IF(COUNTA(W406:AB406)&lt;6,"一部入力",IF(COUNTIF(AC406:AH406,0)=6,"一致","差分あり")))</f>
        <v/>
      </c>
      <c r="AJ4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6" s="19" t="inlineStr"/>
      <c r="AL406" s="18" t="inlineStr">
        <is>
          <t>2026-06-29</t>
        </is>
      </c>
    </row>
    <row r="407" ht="22" customHeight="1">
      <c r="A407" s="17" t="inlineStr">
        <is>
          <t>1005202-LB0</t>
        </is>
      </c>
      <c r="B407" s="18" t="n">
        <v>1005202</v>
      </c>
      <c r="C407" s="17" t="inlineStr">
        <is>
          <t>IIshii02</t>
        </is>
      </c>
      <c r="D407" s="17" t="inlineStr">
        <is>
          <t>IIshii</t>
        </is>
      </c>
      <c r="E407" s="17" t="inlineStr">
        <is>
          <t>石井 色葉</t>
        </is>
      </c>
      <c r="F407" s="19" t="inlineStr">
        <is>
          <t>多彩なるインスピレーション</t>
        </is>
      </c>
      <c r="G407" s="18" t="inlineStr">
        <is>
          <t>S</t>
        </is>
      </c>
      <c r="H407" s="17" t="inlineStr">
        <is>
          <t>Buffer</t>
        </is>
      </c>
      <c r="I407" s="18" t="n">
        <v>0</v>
      </c>
      <c r="J407" s="18" t="n">
        <v>10</v>
      </c>
      <c r="K407" s="18" t="n">
        <v>341</v>
      </c>
      <c r="L407" s="18" t="n">
        <v>305</v>
      </c>
      <c r="M407" s="18" t="n">
        <v>318</v>
      </c>
      <c r="N407" s="18" t="n">
        <v>321</v>
      </c>
      <c r="O407" s="18" t="n">
        <v>317</v>
      </c>
      <c r="P407" s="18" t="n">
        <v>344</v>
      </c>
      <c r="Q407" s="18" t="n">
        <v>35</v>
      </c>
      <c r="R407" s="18" t="n">
        <v>31</v>
      </c>
      <c r="S407" s="18" t="n">
        <v>32</v>
      </c>
      <c r="T407" s="18" t="n">
        <v>33</v>
      </c>
      <c r="U407" s="18" t="n">
        <v>32</v>
      </c>
      <c r="V407" s="18" t="n">
        <v>35</v>
      </c>
      <c r="W407" s="20" t="n"/>
      <c r="X407" s="20" t="n"/>
      <c r="Y407" s="20" t="n"/>
      <c r="Z407" s="20" t="n"/>
      <c r="AA407" s="20" t="n"/>
      <c r="AB407" s="20" t="n"/>
      <c r="AC407" s="21">
        <f>IF(W407="","",W407-K407)</f>
        <v/>
      </c>
      <c r="AD407" s="21">
        <f>IF(X407="","",X407-L407)</f>
        <v/>
      </c>
      <c r="AE407" s="21">
        <f>IF(Y407="","",Y407-M407)</f>
        <v/>
      </c>
      <c r="AF407" s="21">
        <f>IF(Z407="","",Z407-N407)</f>
        <v/>
      </c>
      <c r="AG407" s="21">
        <f>IF(AA407="","",AA407-O407)</f>
        <v/>
      </c>
      <c r="AH407" s="21">
        <f>IF(AB407="","",AB407-P407)</f>
        <v/>
      </c>
      <c r="AI407" s="18">
        <f>IF(COUNTA(W407:AB407)=0,"未入力",IF(COUNTA(W407:AB407)&lt;6,"一部入力",IF(COUNTIF(AC407:AH407,0)=6,"一致","差分あり")))</f>
        <v/>
      </c>
      <c r="AJ4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7" s="19" t="inlineStr"/>
      <c r="AL407" s="18" t="inlineStr">
        <is>
          <t>2026-06-29</t>
        </is>
      </c>
    </row>
    <row r="408" ht="22" customHeight="1">
      <c r="A408" s="17" t="inlineStr">
        <is>
          <t>1005202-LB10</t>
        </is>
      </c>
      <c r="B408" s="18" t="n">
        <v>1005202</v>
      </c>
      <c r="C408" s="17" t="inlineStr">
        <is>
          <t>IIshii02</t>
        </is>
      </c>
      <c r="D408" s="17" t="inlineStr">
        <is>
          <t>IIshii</t>
        </is>
      </c>
      <c r="E408" s="17" t="inlineStr">
        <is>
          <t>石井 色葉</t>
        </is>
      </c>
      <c r="F408" s="19" t="inlineStr">
        <is>
          <t>多彩なるインスピレーション</t>
        </is>
      </c>
      <c r="G408" s="18" t="inlineStr">
        <is>
          <t>S</t>
        </is>
      </c>
      <c r="H408" s="17" t="inlineStr">
        <is>
          <t>Buffer</t>
        </is>
      </c>
      <c r="I408" s="18" t="n">
        <v>10</v>
      </c>
      <c r="J408" s="18" t="n">
        <v>10</v>
      </c>
      <c r="K408" s="18" t="n">
        <v>408</v>
      </c>
      <c r="L408" s="18" t="n">
        <v>370</v>
      </c>
      <c r="M408" s="18" t="n">
        <v>386</v>
      </c>
      <c r="N408" s="18" t="n">
        <v>388</v>
      </c>
      <c r="O408" s="18" t="n">
        <v>383</v>
      </c>
      <c r="P408" s="18" t="n">
        <v>408</v>
      </c>
      <c r="Q408" s="18" t="n">
        <v>41</v>
      </c>
      <c r="R408" s="18" t="n">
        <v>37</v>
      </c>
      <c r="S408" s="18" t="n">
        <v>39</v>
      </c>
      <c r="T408" s="18" t="n">
        <v>39</v>
      </c>
      <c r="U408" s="18" t="n">
        <v>39</v>
      </c>
      <c r="V408" s="18" t="n">
        <v>41</v>
      </c>
      <c r="W408" s="20" t="n"/>
      <c r="X408" s="20" t="n"/>
      <c r="Y408" s="20" t="n"/>
      <c r="Z408" s="20" t="n"/>
      <c r="AA408" s="20" t="n"/>
      <c r="AB408" s="20" t="n"/>
      <c r="AC408" s="21">
        <f>IF(W408="","",W408-K408)</f>
        <v/>
      </c>
      <c r="AD408" s="21">
        <f>IF(X408="","",X408-L408)</f>
        <v/>
      </c>
      <c r="AE408" s="21">
        <f>IF(Y408="","",Y408-M408)</f>
        <v/>
      </c>
      <c r="AF408" s="21">
        <f>IF(Z408="","",Z408-N408)</f>
        <v/>
      </c>
      <c r="AG408" s="21">
        <f>IF(AA408="","",AA408-O408)</f>
        <v/>
      </c>
      <c r="AH408" s="21">
        <f>IF(AB408="","",AB408-P408)</f>
        <v/>
      </c>
      <c r="AI408" s="18">
        <f>IF(COUNTA(W408:AB408)=0,"未入力",IF(COUNTA(W408:AB408)&lt;6,"一部入力",IF(COUNTIF(AC408:AH408,0)=6,"一致","差分あり")))</f>
        <v/>
      </c>
      <c r="AJ4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8" s="19" t="inlineStr"/>
      <c r="AL408" s="18" t="inlineStr">
        <is>
          <t>2026-06-29</t>
        </is>
      </c>
    </row>
    <row r="409" ht="22" customHeight="1">
      <c r="A409" s="17" t="inlineStr">
        <is>
          <t>1005203-LB0</t>
        </is>
      </c>
      <c r="B409" s="18" t="n">
        <v>1005203</v>
      </c>
      <c r="C409" s="17" t="inlineStr">
        <is>
          <t>IIshii03</t>
        </is>
      </c>
      <c r="D409" s="17" t="inlineStr">
        <is>
          <t>IIshii</t>
        </is>
      </c>
      <c r="E409" s="17" t="inlineStr">
        <is>
          <t>石井 色葉</t>
        </is>
      </c>
      <c r="F409" s="19" t="inlineStr">
        <is>
          <t>撃砕の無彩色</t>
        </is>
      </c>
      <c r="G409" s="18" t="inlineStr">
        <is>
          <t>SS</t>
        </is>
      </c>
      <c r="H409" s="17" t="inlineStr">
        <is>
          <t>Buffer</t>
        </is>
      </c>
      <c r="I409" s="18" t="n">
        <v>0</v>
      </c>
      <c r="J409" s="18" t="n">
        <v>4</v>
      </c>
      <c r="K409" s="18" t="n">
        <v>371</v>
      </c>
      <c r="L409" s="18" t="n">
        <v>375</v>
      </c>
      <c r="M409" s="18" t="n">
        <v>427</v>
      </c>
      <c r="N409" s="18" t="n">
        <v>395</v>
      </c>
      <c r="O409" s="18" t="n">
        <v>364</v>
      </c>
      <c r="P409" s="18" t="n">
        <v>336</v>
      </c>
      <c r="Q409" s="18" t="n">
        <v>38</v>
      </c>
      <c r="R409" s="18" t="n">
        <v>38</v>
      </c>
      <c r="S409" s="18" t="n">
        <v>43</v>
      </c>
      <c r="T409" s="18" t="n">
        <v>40</v>
      </c>
      <c r="U409" s="18" t="n">
        <v>37</v>
      </c>
      <c r="V409" s="18" t="n">
        <v>34</v>
      </c>
      <c r="W409" s="20" t="n"/>
      <c r="X409" s="20" t="n"/>
      <c r="Y409" s="20" t="n"/>
      <c r="Z409" s="20" t="n"/>
      <c r="AA409" s="20" t="n"/>
      <c r="AB409" s="20" t="n"/>
      <c r="AC409" s="21">
        <f>IF(W409="","",W409-K409)</f>
        <v/>
      </c>
      <c r="AD409" s="21">
        <f>IF(X409="","",X409-L409)</f>
        <v/>
      </c>
      <c r="AE409" s="21">
        <f>IF(Y409="","",Y409-M409)</f>
        <v/>
      </c>
      <c r="AF409" s="21">
        <f>IF(Z409="","",Z409-N409)</f>
        <v/>
      </c>
      <c r="AG409" s="21">
        <f>IF(AA409="","",AA409-O409)</f>
        <v/>
      </c>
      <c r="AH409" s="21">
        <f>IF(AB409="","",AB409-P409)</f>
        <v/>
      </c>
      <c r="AI409" s="18">
        <f>IF(COUNTA(W409:AB409)=0,"未入力",IF(COUNTA(W409:AB409)&lt;6,"一部入力",IF(COUNTIF(AC409:AH409,0)=6,"一致","差分あり")))</f>
        <v/>
      </c>
      <c r="AJ4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09" s="19" t="inlineStr"/>
      <c r="AL409" s="18" t="inlineStr">
        <is>
          <t>2026-06-29</t>
        </is>
      </c>
    </row>
    <row r="410" ht="22" customHeight="1">
      <c r="A410" s="17" t="inlineStr">
        <is>
          <t>1005203-LB4</t>
        </is>
      </c>
      <c r="B410" s="18" t="n">
        <v>1005203</v>
      </c>
      <c r="C410" s="17" t="inlineStr">
        <is>
          <t>IIshii03</t>
        </is>
      </c>
      <c r="D410" s="17" t="inlineStr">
        <is>
          <t>IIshii</t>
        </is>
      </c>
      <c r="E410" s="17" t="inlineStr">
        <is>
          <t>石井 色葉</t>
        </is>
      </c>
      <c r="F410" s="19" t="inlineStr">
        <is>
          <t>撃砕の無彩色</t>
        </is>
      </c>
      <c r="G410" s="18" t="inlineStr">
        <is>
          <t>SS</t>
        </is>
      </c>
      <c r="H410" s="17" t="inlineStr">
        <is>
          <t>Buffer</t>
        </is>
      </c>
      <c r="I410" s="18" t="n">
        <v>4</v>
      </c>
      <c r="J410" s="18" t="n">
        <v>4</v>
      </c>
      <c r="K410" s="18" t="n">
        <v>457</v>
      </c>
      <c r="L410" s="18" t="n">
        <v>463</v>
      </c>
      <c r="M410" s="18" t="n">
        <v>518</v>
      </c>
      <c r="N410" s="18" t="n">
        <v>483</v>
      </c>
      <c r="O410" s="18" t="n">
        <v>452</v>
      </c>
      <c r="P410" s="18" t="n">
        <v>422</v>
      </c>
      <c r="Q410" s="18" t="n">
        <v>46</v>
      </c>
      <c r="R410" s="18" t="n">
        <v>47</v>
      </c>
      <c r="S410" s="18" t="n">
        <v>52</v>
      </c>
      <c r="T410" s="18" t="n">
        <v>49</v>
      </c>
      <c r="U410" s="18" t="n">
        <v>46</v>
      </c>
      <c r="V410" s="18" t="n">
        <v>43</v>
      </c>
      <c r="W410" s="20" t="n"/>
      <c r="X410" s="20" t="n"/>
      <c r="Y410" s="20" t="n"/>
      <c r="Z410" s="20" t="n"/>
      <c r="AA410" s="20" t="n"/>
      <c r="AB410" s="20" t="n"/>
      <c r="AC410" s="21">
        <f>IF(W410="","",W410-K410)</f>
        <v/>
      </c>
      <c r="AD410" s="21">
        <f>IF(X410="","",X410-L410)</f>
        <v/>
      </c>
      <c r="AE410" s="21">
        <f>IF(Y410="","",Y410-M410)</f>
        <v/>
      </c>
      <c r="AF410" s="21">
        <f>IF(Z410="","",Z410-N410)</f>
        <v/>
      </c>
      <c r="AG410" s="21">
        <f>IF(AA410="","",AA410-O410)</f>
        <v/>
      </c>
      <c r="AH410" s="21">
        <f>IF(AB410="","",AB410-P410)</f>
        <v/>
      </c>
      <c r="AI410" s="18">
        <f>IF(COUNTA(W410:AB410)=0,"未入力",IF(COUNTA(W410:AB410)&lt;6,"一部入力",IF(COUNTIF(AC410:AH410,0)=6,"一致","差分あり")))</f>
        <v/>
      </c>
      <c r="AJ4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0" s="19" t="inlineStr"/>
      <c r="AL410" s="18" t="inlineStr">
        <is>
          <t>2026-06-29</t>
        </is>
      </c>
    </row>
    <row r="411" ht="22" customHeight="1">
      <c r="A411" s="17" t="inlineStr">
        <is>
          <t>1005204-LB0</t>
        </is>
      </c>
      <c r="B411" s="18" t="n">
        <v>1005204</v>
      </c>
      <c r="C411" s="17" t="inlineStr">
        <is>
          <t>IIshii04</t>
        </is>
      </c>
      <c r="D411" s="17" t="inlineStr">
        <is>
          <t>IIshii</t>
        </is>
      </c>
      <c r="E411" s="17" t="inlineStr">
        <is>
          <t>石井 色葉</t>
        </is>
      </c>
      <c r="F411" s="19" t="inlineStr">
        <is>
          <t>ピュア・エモーション</t>
        </is>
      </c>
      <c r="G411" s="18" t="inlineStr">
        <is>
          <t>S</t>
        </is>
      </c>
      <c r="H411" s="17" t="inlineStr">
        <is>
          <t>Buffer</t>
        </is>
      </c>
      <c r="I411" s="18" t="n">
        <v>0</v>
      </c>
      <c r="J411" s="18" t="n">
        <v>10</v>
      </c>
      <c r="K411" s="18" t="n">
        <v>301</v>
      </c>
      <c r="L411" s="18" t="n">
        <v>345</v>
      </c>
      <c r="M411" s="18" t="n">
        <v>329</v>
      </c>
      <c r="N411" s="18" t="n">
        <v>310</v>
      </c>
      <c r="O411" s="18" t="n">
        <v>350</v>
      </c>
      <c r="P411" s="18" t="n">
        <v>312</v>
      </c>
      <c r="Q411" s="18" t="n">
        <v>31</v>
      </c>
      <c r="R411" s="18" t="n">
        <v>35</v>
      </c>
      <c r="S411" s="18" t="n">
        <v>33</v>
      </c>
      <c r="T411" s="18" t="n">
        <v>31</v>
      </c>
      <c r="U411" s="18" t="n">
        <v>35</v>
      </c>
      <c r="V411" s="18" t="n">
        <v>32</v>
      </c>
      <c r="W411" s="20" t="n"/>
      <c r="X411" s="20" t="n"/>
      <c r="Y411" s="20" t="n"/>
      <c r="Z411" s="20" t="n"/>
      <c r="AA411" s="20" t="n"/>
      <c r="AB411" s="20" t="n"/>
      <c r="AC411" s="21">
        <f>IF(W411="","",W411-K411)</f>
        <v/>
      </c>
      <c r="AD411" s="21">
        <f>IF(X411="","",X411-L411)</f>
        <v/>
      </c>
      <c r="AE411" s="21">
        <f>IF(Y411="","",Y411-M411)</f>
        <v/>
      </c>
      <c r="AF411" s="21">
        <f>IF(Z411="","",Z411-N411)</f>
        <v/>
      </c>
      <c r="AG411" s="21">
        <f>IF(AA411="","",AA411-O411)</f>
        <v/>
      </c>
      <c r="AH411" s="21">
        <f>IF(AB411="","",AB411-P411)</f>
        <v/>
      </c>
      <c r="AI411" s="18">
        <f>IF(COUNTA(W411:AB411)=0,"未入力",IF(COUNTA(W411:AB411)&lt;6,"一部入力",IF(COUNTIF(AC411:AH411,0)=6,"一致","差分あり")))</f>
        <v/>
      </c>
      <c r="AJ4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1" s="19" t="inlineStr"/>
      <c r="AL411" s="18" t="inlineStr">
        <is>
          <t>2026-06-29</t>
        </is>
      </c>
    </row>
    <row r="412" ht="22" customHeight="1">
      <c r="A412" s="17" t="inlineStr">
        <is>
          <t>1005204-LB10</t>
        </is>
      </c>
      <c r="B412" s="18" t="n">
        <v>1005204</v>
      </c>
      <c r="C412" s="17" t="inlineStr">
        <is>
          <t>IIshii04</t>
        </is>
      </c>
      <c r="D412" s="17" t="inlineStr">
        <is>
          <t>IIshii</t>
        </is>
      </c>
      <c r="E412" s="17" t="inlineStr">
        <is>
          <t>石井 色葉</t>
        </is>
      </c>
      <c r="F412" s="19" t="inlineStr">
        <is>
          <t>ピュア・エモーション</t>
        </is>
      </c>
      <c r="G412" s="18" t="inlineStr">
        <is>
          <t>S</t>
        </is>
      </c>
      <c r="H412" s="17" t="inlineStr">
        <is>
          <t>Buffer</t>
        </is>
      </c>
      <c r="I412" s="18" t="n">
        <v>10</v>
      </c>
      <c r="J412" s="18" t="n">
        <v>10</v>
      </c>
      <c r="K412" s="18" t="n">
        <v>365</v>
      </c>
      <c r="L412" s="18" t="n">
        <v>414</v>
      </c>
      <c r="M412" s="18" t="n">
        <v>398</v>
      </c>
      <c r="N412" s="18" t="n">
        <v>377</v>
      </c>
      <c r="O412" s="18" t="n">
        <v>416</v>
      </c>
      <c r="P412" s="18" t="n">
        <v>376</v>
      </c>
      <c r="Q412" s="18" t="n">
        <v>37</v>
      </c>
      <c r="R412" s="18" t="n">
        <v>42</v>
      </c>
      <c r="S412" s="18" t="n">
        <v>40</v>
      </c>
      <c r="T412" s="18" t="n">
        <v>38</v>
      </c>
      <c r="U412" s="18" t="n">
        <v>42</v>
      </c>
      <c r="V412" s="18" t="n">
        <v>38</v>
      </c>
      <c r="W412" s="20" t="n"/>
      <c r="X412" s="20" t="n"/>
      <c r="Y412" s="20" t="n"/>
      <c r="Z412" s="20" t="n"/>
      <c r="AA412" s="20" t="n"/>
      <c r="AB412" s="20" t="n"/>
      <c r="AC412" s="21">
        <f>IF(W412="","",W412-K412)</f>
        <v/>
      </c>
      <c r="AD412" s="21">
        <f>IF(X412="","",X412-L412)</f>
        <v/>
      </c>
      <c r="AE412" s="21">
        <f>IF(Y412="","",Y412-M412)</f>
        <v/>
      </c>
      <c r="AF412" s="21">
        <f>IF(Z412="","",Z412-N412)</f>
        <v/>
      </c>
      <c r="AG412" s="21">
        <f>IF(AA412="","",AA412-O412)</f>
        <v/>
      </c>
      <c r="AH412" s="21">
        <f>IF(AB412="","",AB412-P412)</f>
        <v/>
      </c>
      <c r="AI412" s="18">
        <f>IF(COUNTA(W412:AB412)=0,"未入力",IF(COUNTA(W412:AB412)&lt;6,"一部入力",IF(COUNTIF(AC412:AH412,0)=6,"一致","差分あり")))</f>
        <v/>
      </c>
      <c r="AJ4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2" s="19" t="inlineStr"/>
      <c r="AL412" s="18" t="inlineStr">
        <is>
          <t>2026-06-29</t>
        </is>
      </c>
    </row>
    <row r="413" ht="22" customHeight="1">
      <c r="A413" s="17" t="inlineStr">
        <is>
          <t>1005205-LB0</t>
        </is>
      </c>
      <c r="B413" s="18" t="n">
        <v>1005205</v>
      </c>
      <c r="C413" s="17" t="inlineStr">
        <is>
          <t>IIshii05</t>
        </is>
      </c>
      <c r="D413" s="17" t="inlineStr">
        <is>
          <t>IIshii</t>
        </is>
      </c>
      <c r="E413" s="17" t="inlineStr">
        <is>
          <t>石井 色葉</t>
        </is>
      </c>
      <c r="F413" s="19" t="inlineStr">
        <is>
          <t>センシティビティ・オーバーフロー</t>
        </is>
      </c>
      <c r="G413" s="18" t="inlineStr">
        <is>
          <t>SS</t>
        </is>
      </c>
      <c r="H413" s="17" t="inlineStr">
        <is>
          <t>Buffer</t>
        </is>
      </c>
      <c r="I413" s="18" t="n">
        <v>0</v>
      </c>
      <c r="J413" s="18" t="n">
        <v>4</v>
      </c>
      <c r="K413" s="18" t="n">
        <v>392</v>
      </c>
      <c r="L413" s="18" t="n">
        <v>397</v>
      </c>
      <c r="M413" s="18" t="n">
        <v>450</v>
      </c>
      <c r="N413" s="18" t="n">
        <v>417</v>
      </c>
      <c r="O413" s="18" t="n">
        <v>386</v>
      </c>
      <c r="P413" s="18" t="n">
        <v>358</v>
      </c>
      <c r="Q413" s="18" t="n">
        <v>40</v>
      </c>
      <c r="R413" s="18" t="n">
        <v>40</v>
      </c>
      <c r="S413" s="18" t="n">
        <v>45</v>
      </c>
      <c r="T413" s="18" t="n">
        <v>42</v>
      </c>
      <c r="U413" s="18" t="n">
        <v>39</v>
      </c>
      <c r="V413" s="18" t="n">
        <v>36</v>
      </c>
      <c r="W413" s="20" t="n"/>
      <c r="X413" s="20" t="n"/>
      <c r="Y413" s="20" t="n"/>
      <c r="Z413" s="20" t="n"/>
      <c r="AA413" s="20" t="n"/>
      <c r="AB413" s="20" t="n"/>
      <c r="AC413" s="21">
        <f>IF(W413="","",W413-K413)</f>
        <v/>
      </c>
      <c r="AD413" s="21">
        <f>IF(X413="","",X413-L413)</f>
        <v/>
      </c>
      <c r="AE413" s="21">
        <f>IF(Y413="","",Y413-M413)</f>
        <v/>
      </c>
      <c r="AF413" s="21">
        <f>IF(Z413="","",Z413-N413)</f>
        <v/>
      </c>
      <c r="AG413" s="21">
        <f>IF(AA413="","",AA413-O413)</f>
        <v/>
      </c>
      <c r="AH413" s="21">
        <f>IF(AB413="","",AB413-P413)</f>
        <v/>
      </c>
      <c r="AI413" s="18">
        <f>IF(COUNTA(W413:AB413)=0,"未入力",IF(COUNTA(W413:AB413)&lt;6,"一部入力",IF(COUNTIF(AC413:AH413,0)=6,"一致","差分あり")))</f>
        <v/>
      </c>
      <c r="AJ4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3" s="19" t="inlineStr"/>
      <c r="AL413" s="18" t="inlineStr">
        <is>
          <t>2026-06-29</t>
        </is>
      </c>
    </row>
    <row r="414" ht="22" customHeight="1">
      <c r="A414" s="17" t="inlineStr">
        <is>
          <t>1005205-LB4</t>
        </is>
      </c>
      <c r="B414" s="18" t="n">
        <v>1005205</v>
      </c>
      <c r="C414" s="17" t="inlineStr">
        <is>
          <t>IIshii05</t>
        </is>
      </c>
      <c r="D414" s="17" t="inlineStr">
        <is>
          <t>IIshii</t>
        </is>
      </c>
      <c r="E414" s="17" t="inlineStr">
        <is>
          <t>石井 色葉</t>
        </is>
      </c>
      <c r="F414" s="19" t="inlineStr">
        <is>
          <t>センシティビティ・オーバーフロー</t>
        </is>
      </c>
      <c r="G414" s="18" t="inlineStr">
        <is>
          <t>SS</t>
        </is>
      </c>
      <c r="H414" s="17" t="inlineStr">
        <is>
          <t>Buffer</t>
        </is>
      </c>
      <c r="I414" s="18" t="n">
        <v>4</v>
      </c>
      <c r="J414" s="18" t="n">
        <v>4</v>
      </c>
      <c r="K414" s="18" t="n">
        <v>478</v>
      </c>
      <c r="L414" s="18" t="n">
        <v>484</v>
      </c>
      <c r="M414" s="18" t="n">
        <v>541</v>
      </c>
      <c r="N414" s="18" t="n">
        <v>506</v>
      </c>
      <c r="O414" s="18" t="n">
        <v>473</v>
      </c>
      <c r="P414" s="18" t="n">
        <v>444</v>
      </c>
      <c r="Q414" s="18" t="n">
        <v>48</v>
      </c>
      <c r="R414" s="18" t="n">
        <v>49</v>
      </c>
      <c r="S414" s="18" t="n">
        <v>55</v>
      </c>
      <c r="T414" s="18" t="n">
        <v>51</v>
      </c>
      <c r="U414" s="18" t="n">
        <v>48</v>
      </c>
      <c r="V414" s="18" t="n">
        <v>45</v>
      </c>
      <c r="W414" s="20" t="n"/>
      <c r="X414" s="20" t="n"/>
      <c r="Y414" s="20" t="n"/>
      <c r="Z414" s="20" t="n"/>
      <c r="AA414" s="20" t="n"/>
      <c r="AB414" s="20" t="n"/>
      <c r="AC414" s="21">
        <f>IF(W414="","",W414-K414)</f>
        <v/>
      </c>
      <c r="AD414" s="21">
        <f>IF(X414="","",X414-L414)</f>
        <v/>
      </c>
      <c r="AE414" s="21">
        <f>IF(Y414="","",Y414-M414)</f>
        <v/>
      </c>
      <c r="AF414" s="21">
        <f>IF(Z414="","",Z414-N414)</f>
        <v/>
      </c>
      <c r="AG414" s="21">
        <f>IF(AA414="","",AA414-O414)</f>
        <v/>
      </c>
      <c r="AH414" s="21">
        <f>IF(AB414="","",AB414-P414)</f>
        <v/>
      </c>
      <c r="AI414" s="18">
        <f>IF(COUNTA(W414:AB414)=0,"未入力",IF(COUNTA(W414:AB414)&lt;6,"一部入力",IF(COUNTIF(AC414:AH414,0)=6,"一致","差分あり")))</f>
        <v/>
      </c>
      <c r="AJ4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4" s="19" t="inlineStr"/>
      <c r="AL414" s="18" t="inlineStr">
        <is>
          <t>2026-06-29</t>
        </is>
      </c>
    </row>
    <row r="415" ht="22" customHeight="1">
      <c r="A415" s="17" t="inlineStr">
        <is>
          <t>1005206-LB0</t>
        </is>
      </c>
      <c r="B415" s="18" t="n">
        <v>1005206</v>
      </c>
      <c r="C415" s="17" t="inlineStr">
        <is>
          <t>IIshii06</t>
        </is>
      </c>
      <c r="D415" s="17" t="inlineStr">
        <is>
          <t>IIshii</t>
        </is>
      </c>
      <c r="E415" s="17" t="inlineStr">
        <is>
          <t>石井 色葉</t>
        </is>
      </c>
      <c r="F415" s="19" t="inlineStr">
        <is>
          <t>ハピネス・クロマ</t>
        </is>
      </c>
      <c r="G415" s="18" t="inlineStr">
        <is>
          <t>SS</t>
        </is>
      </c>
      <c r="H415" s="17" t="inlineStr">
        <is>
          <t>Buffer</t>
        </is>
      </c>
      <c r="I415" s="18" t="n">
        <v>0</v>
      </c>
      <c r="J415" s="18" t="n">
        <v>4</v>
      </c>
      <c r="K415" s="18" t="n">
        <v>392</v>
      </c>
      <c r="L415" s="18" t="n">
        <v>397</v>
      </c>
      <c r="M415" s="18" t="n">
        <v>450</v>
      </c>
      <c r="N415" s="18" t="n">
        <v>417</v>
      </c>
      <c r="O415" s="18" t="n">
        <v>386</v>
      </c>
      <c r="P415" s="18" t="n">
        <v>358</v>
      </c>
      <c r="Q415" s="18" t="n">
        <v>40</v>
      </c>
      <c r="R415" s="18" t="n">
        <v>40</v>
      </c>
      <c r="S415" s="18" t="n">
        <v>45</v>
      </c>
      <c r="T415" s="18" t="n">
        <v>42</v>
      </c>
      <c r="U415" s="18" t="n">
        <v>39</v>
      </c>
      <c r="V415" s="18" t="n">
        <v>36</v>
      </c>
      <c r="W415" s="20" t="n"/>
      <c r="X415" s="20" t="n"/>
      <c r="Y415" s="20" t="n"/>
      <c r="Z415" s="20" t="n"/>
      <c r="AA415" s="20" t="n"/>
      <c r="AB415" s="20" t="n"/>
      <c r="AC415" s="21">
        <f>IF(W415="","",W415-K415)</f>
        <v/>
      </c>
      <c r="AD415" s="21">
        <f>IF(X415="","",X415-L415)</f>
        <v/>
      </c>
      <c r="AE415" s="21">
        <f>IF(Y415="","",Y415-M415)</f>
        <v/>
      </c>
      <c r="AF415" s="21">
        <f>IF(Z415="","",Z415-N415)</f>
        <v/>
      </c>
      <c r="AG415" s="21">
        <f>IF(AA415="","",AA415-O415)</f>
        <v/>
      </c>
      <c r="AH415" s="21">
        <f>IF(AB415="","",AB415-P415)</f>
        <v/>
      </c>
      <c r="AI415" s="18">
        <f>IF(COUNTA(W415:AB415)=0,"未入力",IF(COUNTA(W415:AB415)&lt;6,"一部入力",IF(COUNTIF(AC415:AH415,0)=6,"一致","差分あり")))</f>
        <v/>
      </c>
      <c r="AJ4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5" s="19" t="inlineStr"/>
      <c r="AL415" s="18" t="inlineStr">
        <is>
          <t>2026-06-29</t>
        </is>
      </c>
    </row>
    <row r="416" ht="22" customHeight="1">
      <c r="A416" s="17" t="inlineStr">
        <is>
          <t>1005206-LB4</t>
        </is>
      </c>
      <c r="B416" s="18" t="n">
        <v>1005206</v>
      </c>
      <c r="C416" s="17" t="inlineStr">
        <is>
          <t>IIshii06</t>
        </is>
      </c>
      <c r="D416" s="17" t="inlineStr">
        <is>
          <t>IIshii</t>
        </is>
      </c>
      <c r="E416" s="17" t="inlineStr">
        <is>
          <t>石井 色葉</t>
        </is>
      </c>
      <c r="F416" s="19" t="inlineStr">
        <is>
          <t>ハピネス・クロマ</t>
        </is>
      </c>
      <c r="G416" s="18" t="inlineStr">
        <is>
          <t>SS</t>
        </is>
      </c>
      <c r="H416" s="17" t="inlineStr">
        <is>
          <t>Buffer</t>
        </is>
      </c>
      <c r="I416" s="18" t="n">
        <v>4</v>
      </c>
      <c r="J416" s="18" t="n">
        <v>4</v>
      </c>
      <c r="K416" s="18" t="n">
        <v>478</v>
      </c>
      <c r="L416" s="18" t="n">
        <v>484</v>
      </c>
      <c r="M416" s="18" t="n">
        <v>541</v>
      </c>
      <c r="N416" s="18" t="n">
        <v>506</v>
      </c>
      <c r="O416" s="18" t="n">
        <v>473</v>
      </c>
      <c r="P416" s="18" t="n">
        <v>444</v>
      </c>
      <c r="Q416" s="18" t="n">
        <v>48</v>
      </c>
      <c r="R416" s="18" t="n">
        <v>49</v>
      </c>
      <c r="S416" s="18" t="n">
        <v>55</v>
      </c>
      <c r="T416" s="18" t="n">
        <v>51</v>
      </c>
      <c r="U416" s="18" t="n">
        <v>48</v>
      </c>
      <c r="V416" s="18" t="n">
        <v>45</v>
      </c>
      <c r="W416" s="20" t="n"/>
      <c r="X416" s="20" t="n"/>
      <c r="Y416" s="20" t="n"/>
      <c r="Z416" s="20" t="n"/>
      <c r="AA416" s="20" t="n"/>
      <c r="AB416" s="20" t="n"/>
      <c r="AC416" s="21">
        <f>IF(W416="","",W416-K416)</f>
        <v/>
      </c>
      <c r="AD416" s="21">
        <f>IF(X416="","",X416-L416)</f>
        <v/>
      </c>
      <c r="AE416" s="21">
        <f>IF(Y416="","",Y416-M416)</f>
        <v/>
      </c>
      <c r="AF416" s="21">
        <f>IF(Z416="","",Z416-N416)</f>
        <v/>
      </c>
      <c r="AG416" s="21">
        <f>IF(AA416="","",AA416-O416)</f>
        <v/>
      </c>
      <c r="AH416" s="21">
        <f>IF(AB416="","",AB416-P416)</f>
        <v/>
      </c>
      <c r="AI416" s="18">
        <f>IF(COUNTA(W416:AB416)=0,"未入力",IF(COUNTA(W416:AB416)&lt;6,"一部入力",IF(COUNTIF(AC416:AH416,0)=6,"一致","差分あり")))</f>
        <v/>
      </c>
      <c r="AJ4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6" s="19" t="inlineStr"/>
      <c r="AL416" s="18" t="inlineStr">
        <is>
          <t>2026-06-29</t>
        </is>
      </c>
    </row>
    <row r="417" ht="22" customHeight="1">
      <c r="A417" s="17" t="inlineStr">
        <is>
          <t>1005301-LB0</t>
        </is>
      </c>
      <c r="B417" s="18" t="n">
        <v>1005301</v>
      </c>
      <c r="C417" s="17" t="inlineStr">
        <is>
          <t>FMikoto01</t>
        </is>
      </c>
      <c r="D417" s="17" t="inlineStr">
        <is>
          <t>FMikoto</t>
        </is>
      </c>
      <c r="E417" s="17" t="inlineStr">
        <is>
          <t>命 吹雪</t>
        </is>
      </c>
      <c r="F417" s="19" t="inlineStr">
        <is>
          <t>Metal Crazy</t>
        </is>
      </c>
      <c r="G417" s="18" t="inlineStr">
        <is>
          <t>A</t>
        </is>
      </c>
      <c r="H417" s="17" t="inlineStr">
        <is>
          <t>Debuffer</t>
        </is>
      </c>
      <c r="I417" s="18" t="n">
        <v>0</v>
      </c>
      <c r="J417" s="18" t="n">
        <v>20</v>
      </c>
      <c r="K417" s="18" t="n">
        <v>280</v>
      </c>
      <c r="L417" s="18" t="n">
        <v>277</v>
      </c>
      <c r="M417" s="18" t="n">
        <v>286</v>
      </c>
      <c r="N417" s="18" t="n">
        <v>284</v>
      </c>
      <c r="O417" s="18" t="n">
        <v>245</v>
      </c>
      <c r="P417" s="18" t="n">
        <v>246</v>
      </c>
      <c r="Q417" s="18" t="n">
        <v>28</v>
      </c>
      <c r="R417" s="18" t="n">
        <v>28</v>
      </c>
      <c r="S417" s="18" t="n">
        <v>29</v>
      </c>
      <c r="T417" s="18" t="n">
        <v>29</v>
      </c>
      <c r="U417" s="18" t="n">
        <v>25</v>
      </c>
      <c r="V417" s="18" t="n">
        <v>25</v>
      </c>
      <c r="W417" s="20" t="n"/>
      <c r="X417" s="20" t="n"/>
      <c r="Y417" s="20" t="n"/>
      <c r="Z417" s="20" t="n"/>
      <c r="AA417" s="20" t="n"/>
      <c r="AB417" s="20" t="n"/>
      <c r="AC417" s="21">
        <f>IF(W417="","",W417-K417)</f>
        <v/>
      </c>
      <c r="AD417" s="21">
        <f>IF(X417="","",X417-L417)</f>
        <v/>
      </c>
      <c r="AE417" s="21">
        <f>IF(Y417="","",Y417-M417)</f>
        <v/>
      </c>
      <c r="AF417" s="21">
        <f>IF(Z417="","",Z417-N417)</f>
        <v/>
      </c>
      <c r="AG417" s="21">
        <f>IF(AA417="","",AA417-O417)</f>
        <v/>
      </c>
      <c r="AH417" s="21">
        <f>IF(AB417="","",AB417-P417)</f>
        <v/>
      </c>
      <c r="AI417" s="18">
        <f>IF(COUNTA(W417:AB417)=0,"未入力",IF(COUNTA(W417:AB417)&lt;6,"一部入力",IF(COUNTIF(AC417:AH417,0)=6,"一致","差分あり")))</f>
        <v/>
      </c>
      <c r="AJ4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7" s="19" t="inlineStr"/>
      <c r="AL417" s="18" t="inlineStr">
        <is>
          <t>2026-06-29</t>
        </is>
      </c>
    </row>
    <row r="418" ht="22" customHeight="1">
      <c r="A418" s="17" t="inlineStr">
        <is>
          <t>1005301-LB20</t>
        </is>
      </c>
      <c r="B418" s="18" t="n">
        <v>1005301</v>
      </c>
      <c r="C418" s="17" t="inlineStr">
        <is>
          <t>FMikoto01</t>
        </is>
      </c>
      <c r="D418" s="17" t="inlineStr">
        <is>
          <t>FMikoto</t>
        </is>
      </c>
      <c r="E418" s="17" t="inlineStr">
        <is>
          <t>命 吹雪</t>
        </is>
      </c>
      <c r="F418" s="19" t="inlineStr">
        <is>
          <t>Metal Crazy</t>
        </is>
      </c>
      <c r="G418" s="18" t="inlineStr">
        <is>
          <t>A</t>
        </is>
      </c>
      <c r="H418" s="17" t="inlineStr">
        <is>
          <t>Debuffer</t>
        </is>
      </c>
      <c r="I418" s="18" t="n">
        <v>20</v>
      </c>
      <c r="J418" s="18" t="n">
        <v>20</v>
      </c>
      <c r="K418" s="18" t="n">
        <v>324</v>
      </c>
      <c r="L418" s="18" t="n">
        <v>320</v>
      </c>
      <c r="M418" s="18" t="n">
        <v>331</v>
      </c>
      <c r="N418" s="18" t="n">
        <v>326</v>
      </c>
      <c r="O418" s="18" t="n">
        <v>289</v>
      </c>
      <c r="P418" s="18" t="n">
        <v>290</v>
      </c>
      <c r="Q418" s="18" t="n">
        <v>33</v>
      </c>
      <c r="R418" s="18" t="n">
        <v>32</v>
      </c>
      <c r="S418" s="18" t="n">
        <v>34</v>
      </c>
      <c r="T418" s="18" t="n">
        <v>33</v>
      </c>
      <c r="U418" s="18" t="n">
        <v>29</v>
      </c>
      <c r="V418" s="18" t="n">
        <v>29</v>
      </c>
      <c r="W418" s="20" t="n"/>
      <c r="X418" s="20" t="n"/>
      <c r="Y418" s="20" t="n"/>
      <c r="Z418" s="20" t="n"/>
      <c r="AA418" s="20" t="n"/>
      <c r="AB418" s="20" t="n"/>
      <c r="AC418" s="21">
        <f>IF(W418="","",W418-K418)</f>
        <v/>
      </c>
      <c r="AD418" s="21">
        <f>IF(X418="","",X418-L418)</f>
        <v/>
      </c>
      <c r="AE418" s="21">
        <f>IF(Y418="","",Y418-M418)</f>
        <v/>
      </c>
      <c r="AF418" s="21">
        <f>IF(Z418="","",Z418-N418)</f>
        <v/>
      </c>
      <c r="AG418" s="21">
        <f>IF(AA418="","",AA418-O418)</f>
        <v/>
      </c>
      <c r="AH418" s="21">
        <f>IF(AB418="","",AB418-P418)</f>
        <v/>
      </c>
      <c r="AI418" s="18">
        <f>IF(COUNTA(W418:AB418)=0,"未入力",IF(COUNTA(W418:AB418)&lt;6,"一部入力",IF(COUNTIF(AC418:AH418,0)=6,"一致","差分あり")))</f>
        <v/>
      </c>
      <c r="AJ4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8" s="19" t="inlineStr"/>
      <c r="AL418" s="18" t="inlineStr">
        <is>
          <t>2026-06-29</t>
        </is>
      </c>
    </row>
    <row r="419" ht="22" customHeight="1">
      <c r="A419" s="17" t="inlineStr">
        <is>
          <t>1005302-LB0</t>
        </is>
      </c>
      <c r="B419" s="18" t="n">
        <v>1005302</v>
      </c>
      <c r="C419" s="17" t="inlineStr">
        <is>
          <t>FMikoto02</t>
        </is>
      </c>
      <c r="D419" s="17" t="inlineStr">
        <is>
          <t>FMikoto</t>
        </is>
      </c>
      <c r="E419" s="17" t="inlineStr">
        <is>
          <t>命 吹雪</t>
        </is>
      </c>
      <c r="F419" s="19" t="inlineStr">
        <is>
          <t>Silent Reverberations</t>
        </is>
      </c>
      <c r="G419" s="18" t="inlineStr">
        <is>
          <t>S</t>
        </is>
      </c>
      <c r="H419" s="17" t="inlineStr">
        <is>
          <t>Debuffer</t>
        </is>
      </c>
      <c r="I419" s="18" t="n">
        <v>0</v>
      </c>
      <c r="J419" s="18" t="n">
        <v>10</v>
      </c>
      <c r="K419" s="18" t="n">
        <v>351</v>
      </c>
      <c r="L419" s="18" t="n">
        <v>304</v>
      </c>
      <c r="M419" s="18" t="n">
        <v>304</v>
      </c>
      <c r="N419" s="18" t="n">
        <v>310</v>
      </c>
      <c r="O419" s="18" t="n">
        <v>316</v>
      </c>
      <c r="P419" s="18" t="n">
        <v>350</v>
      </c>
      <c r="Q419" s="18" t="n">
        <v>36</v>
      </c>
      <c r="R419" s="18" t="n">
        <v>31</v>
      </c>
      <c r="S419" s="18" t="n">
        <v>31</v>
      </c>
      <c r="T419" s="18" t="n">
        <v>31</v>
      </c>
      <c r="U419" s="18" t="n">
        <v>32</v>
      </c>
      <c r="V419" s="18" t="n">
        <v>35</v>
      </c>
      <c r="W419" s="20" t="n"/>
      <c r="X419" s="20" t="n"/>
      <c r="Y419" s="20" t="n"/>
      <c r="Z419" s="20" t="n"/>
      <c r="AA419" s="20" t="n"/>
      <c r="AB419" s="20" t="n"/>
      <c r="AC419" s="21">
        <f>IF(W419="","",W419-K419)</f>
        <v/>
      </c>
      <c r="AD419" s="21">
        <f>IF(X419="","",X419-L419)</f>
        <v/>
      </c>
      <c r="AE419" s="21">
        <f>IF(Y419="","",Y419-M419)</f>
        <v/>
      </c>
      <c r="AF419" s="21">
        <f>IF(Z419="","",Z419-N419)</f>
        <v/>
      </c>
      <c r="AG419" s="21">
        <f>IF(AA419="","",AA419-O419)</f>
        <v/>
      </c>
      <c r="AH419" s="21">
        <f>IF(AB419="","",AB419-P419)</f>
        <v/>
      </c>
      <c r="AI419" s="18">
        <f>IF(COUNTA(W419:AB419)=0,"未入力",IF(COUNTA(W419:AB419)&lt;6,"一部入力",IF(COUNTIF(AC419:AH419,0)=6,"一致","差分あり")))</f>
        <v/>
      </c>
      <c r="AJ4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19" s="19" t="inlineStr"/>
      <c r="AL419" s="18" t="inlineStr">
        <is>
          <t>2026-06-29</t>
        </is>
      </c>
    </row>
    <row r="420" ht="22" customHeight="1">
      <c r="A420" s="17" t="inlineStr">
        <is>
          <t>1005302-LB10</t>
        </is>
      </c>
      <c r="B420" s="18" t="n">
        <v>1005302</v>
      </c>
      <c r="C420" s="17" t="inlineStr">
        <is>
          <t>FMikoto02</t>
        </is>
      </c>
      <c r="D420" s="17" t="inlineStr">
        <is>
          <t>FMikoto</t>
        </is>
      </c>
      <c r="E420" s="17" t="inlineStr">
        <is>
          <t>命 吹雪</t>
        </is>
      </c>
      <c r="F420" s="19" t="inlineStr">
        <is>
          <t>Silent Reverberations</t>
        </is>
      </c>
      <c r="G420" s="18" t="inlineStr">
        <is>
          <t>S</t>
        </is>
      </c>
      <c r="H420" s="17" t="inlineStr">
        <is>
          <t>Debuffer</t>
        </is>
      </c>
      <c r="I420" s="18" t="n">
        <v>10</v>
      </c>
      <c r="J420" s="18" t="n">
        <v>10</v>
      </c>
      <c r="K420" s="18" t="n">
        <v>417</v>
      </c>
      <c r="L420" s="18" t="n">
        <v>369</v>
      </c>
      <c r="M420" s="18" t="n">
        <v>369</v>
      </c>
      <c r="N420" s="18" t="n">
        <v>375</v>
      </c>
      <c r="O420" s="18" t="n">
        <v>381</v>
      </c>
      <c r="P420" s="18" t="n">
        <v>416</v>
      </c>
      <c r="Q420" s="18" t="n">
        <v>42</v>
      </c>
      <c r="R420" s="18" t="n">
        <v>37</v>
      </c>
      <c r="S420" s="18" t="n">
        <v>37</v>
      </c>
      <c r="T420" s="18" t="n">
        <v>38</v>
      </c>
      <c r="U420" s="18" t="n">
        <v>39</v>
      </c>
      <c r="V420" s="18" t="n">
        <v>42</v>
      </c>
      <c r="W420" s="20" t="n"/>
      <c r="X420" s="20" t="n"/>
      <c r="Y420" s="20" t="n"/>
      <c r="Z420" s="20" t="n"/>
      <c r="AA420" s="20" t="n"/>
      <c r="AB420" s="20" t="n"/>
      <c r="AC420" s="21">
        <f>IF(W420="","",W420-K420)</f>
        <v/>
      </c>
      <c r="AD420" s="21">
        <f>IF(X420="","",X420-L420)</f>
        <v/>
      </c>
      <c r="AE420" s="21">
        <f>IF(Y420="","",Y420-M420)</f>
        <v/>
      </c>
      <c r="AF420" s="21">
        <f>IF(Z420="","",Z420-N420)</f>
        <v/>
      </c>
      <c r="AG420" s="21">
        <f>IF(AA420="","",AA420-O420)</f>
        <v/>
      </c>
      <c r="AH420" s="21">
        <f>IF(AB420="","",AB420-P420)</f>
        <v/>
      </c>
      <c r="AI420" s="18">
        <f>IF(COUNTA(W420:AB420)=0,"未入力",IF(COUNTA(W420:AB420)&lt;6,"一部入力",IF(COUNTIF(AC420:AH420,0)=6,"一致","差分あり")))</f>
        <v/>
      </c>
      <c r="AJ4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0" s="19" t="inlineStr"/>
      <c r="AL420" s="18" t="inlineStr">
        <is>
          <t>2026-06-29</t>
        </is>
      </c>
    </row>
    <row r="421" ht="22" customHeight="1">
      <c r="A421" s="17" t="inlineStr">
        <is>
          <t>1005303-LB0</t>
        </is>
      </c>
      <c r="B421" s="18" t="n">
        <v>1005303</v>
      </c>
      <c r="C421" s="17" t="inlineStr">
        <is>
          <t>FMikoto03</t>
        </is>
      </c>
      <c r="D421" s="17" t="inlineStr">
        <is>
          <t>FMikoto</t>
        </is>
      </c>
      <c r="E421" s="17" t="inlineStr">
        <is>
          <t>命 吹雪</t>
        </is>
      </c>
      <c r="F421" s="19" t="inlineStr">
        <is>
          <t>終末なにする？</t>
        </is>
      </c>
      <c r="G421" s="18" t="inlineStr">
        <is>
          <t>SS</t>
        </is>
      </c>
      <c r="H421" s="17" t="inlineStr">
        <is>
          <t>Debuffer</t>
        </is>
      </c>
      <c r="I421" s="18" t="n">
        <v>0</v>
      </c>
      <c r="J421" s="18" t="n">
        <v>4</v>
      </c>
      <c r="K421" s="18" t="n">
        <v>343</v>
      </c>
      <c r="L421" s="18" t="n">
        <v>408</v>
      </c>
      <c r="M421" s="18" t="n">
        <v>374</v>
      </c>
      <c r="N421" s="18" t="n">
        <v>356</v>
      </c>
      <c r="O421" s="18" t="n">
        <v>388</v>
      </c>
      <c r="P421" s="18" t="n">
        <v>377</v>
      </c>
      <c r="Q421" s="18" t="n">
        <v>35</v>
      </c>
      <c r="R421" s="18" t="n">
        <v>41</v>
      </c>
      <c r="S421" s="18" t="n">
        <v>38</v>
      </c>
      <c r="T421" s="18" t="n">
        <v>36</v>
      </c>
      <c r="U421" s="18" t="n">
        <v>39</v>
      </c>
      <c r="V421" s="18" t="n">
        <v>38</v>
      </c>
      <c r="W421" s="20" t="n"/>
      <c r="X421" s="20" t="n"/>
      <c r="Y421" s="20" t="n"/>
      <c r="Z421" s="20" t="n"/>
      <c r="AA421" s="20" t="n"/>
      <c r="AB421" s="20" t="n"/>
      <c r="AC421" s="21">
        <f>IF(W421="","",W421-K421)</f>
        <v/>
      </c>
      <c r="AD421" s="21">
        <f>IF(X421="","",X421-L421)</f>
        <v/>
      </c>
      <c r="AE421" s="21">
        <f>IF(Y421="","",Y421-M421)</f>
        <v/>
      </c>
      <c r="AF421" s="21">
        <f>IF(Z421="","",Z421-N421)</f>
        <v/>
      </c>
      <c r="AG421" s="21">
        <f>IF(AA421="","",AA421-O421)</f>
        <v/>
      </c>
      <c r="AH421" s="21">
        <f>IF(AB421="","",AB421-P421)</f>
        <v/>
      </c>
      <c r="AI421" s="18">
        <f>IF(COUNTA(W421:AB421)=0,"未入力",IF(COUNTA(W421:AB421)&lt;6,"一部入力",IF(COUNTIF(AC421:AH421,0)=6,"一致","差分あり")))</f>
        <v/>
      </c>
      <c r="AJ4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1" s="19" t="inlineStr"/>
      <c r="AL421" s="18" t="inlineStr">
        <is>
          <t>2026-06-29</t>
        </is>
      </c>
    </row>
    <row r="422" ht="22" customHeight="1">
      <c r="A422" s="17" t="inlineStr">
        <is>
          <t>1005303-LB4</t>
        </is>
      </c>
      <c r="B422" s="18" t="n">
        <v>1005303</v>
      </c>
      <c r="C422" s="17" t="inlineStr">
        <is>
          <t>FMikoto03</t>
        </is>
      </c>
      <c r="D422" s="17" t="inlineStr">
        <is>
          <t>FMikoto</t>
        </is>
      </c>
      <c r="E422" s="17" t="inlineStr">
        <is>
          <t>命 吹雪</t>
        </is>
      </c>
      <c r="F422" s="19" t="inlineStr">
        <is>
          <t>終末なにする？</t>
        </is>
      </c>
      <c r="G422" s="18" t="inlineStr">
        <is>
          <t>SS</t>
        </is>
      </c>
      <c r="H422" s="17" t="inlineStr">
        <is>
          <t>Debuffer</t>
        </is>
      </c>
      <c r="I422" s="18" t="n">
        <v>4</v>
      </c>
      <c r="J422" s="18" t="n">
        <v>4</v>
      </c>
      <c r="K422" s="18" t="n">
        <v>431</v>
      </c>
      <c r="L422" s="18" t="n">
        <v>495</v>
      </c>
      <c r="M422" s="18" t="n">
        <v>461</v>
      </c>
      <c r="N422" s="18" t="n">
        <v>442</v>
      </c>
      <c r="O422" s="18" t="n">
        <v>475</v>
      </c>
      <c r="P422" s="18" t="n">
        <v>465</v>
      </c>
      <c r="Q422" s="18" t="n">
        <v>44</v>
      </c>
      <c r="R422" s="18" t="n">
        <v>50</v>
      </c>
      <c r="S422" s="18" t="n">
        <v>47</v>
      </c>
      <c r="T422" s="18" t="n">
        <v>45</v>
      </c>
      <c r="U422" s="18" t="n">
        <v>48</v>
      </c>
      <c r="V422" s="18" t="n">
        <v>47</v>
      </c>
      <c r="W422" s="20" t="n"/>
      <c r="X422" s="20" t="n"/>
      <c r="Y422" s="20" t="n"/>
      <c r="Z422" s="20" t="n"/>
      <c r="AA422" s="20" t="n"/>
      <c r="AB422" s="20" t="n"/>
      <c r="AC422" s="21">
        <f>IF(W422="","",W422-K422)</f>
        <v/>
      </c>
      <c r="AD422" s="21">
        <f>IF(X422="","",X422-L422)</f>
        <v/>
      </c>
      <c r="AE422" s="21">
        <f>IF(Y422="","",Y422-M422)</f>
        <v/>
      </c>
      <c r="AF422" s="21">
        <f>IF(Z422="","",Z422-N422)</f>
        <v/>
      </c>
      <c r="AG422" s="21">
        <f>IF(AA422="","",AA422-O422)</f>
        <v/>
      </c>
      <c r="AH422" s="21">
        <f>IF(AB422="","",AB422-P422)</f>
        <v/>
      </c>
      <c r="AI422" s="18">
        <f>IF(COUNTA(W422:AB422)=0,"未入力",IF(COUNTA(W422:AB422)&lt;6,"一部入力",IF(COUNTIF(AC422:AH422,0)=6,"一致","差分あり")))</f>
        <v/>
      </c>
      <c r="AJ4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2" s="19" t="inlineStr"/>
      <c r="AL422" s="18" t="inlineStr">
        <is>
          <t>2026-06-29</t>
        </is>
      </c>
    </row>
    <row r="423" ht="22" customHeight="1">
      <c r="A423" s="17" t="inlineStr">
        <is>
          <t>1005304-LB0</t>
        </is>
      </c>
      <c r="B423" s="18" t="n">
        <v>1005304</v>
      </c>
      <c r="C423" s="17" t="inlineStr">
        <is>
          <t>FMikoto04</t>
        </is>
      </c>
      <c r="D423" s="17" t="inlineStr">
        <is>
          <t>FMikoto</t>
        </is>
      </c>
      <c r="E423" s="17" t="inlineStr">
        <is>
          <t>命 吹雪</t>
        </is>
      </c>
      <c r="F423" s="19" t="inlineStr">
        <is>
          <t>Frozen Moon, Melting Heart</t>
        </is>
      </c>
      <c r="G423" s="18" t="inlineStr">
        <is>
          <t>SS</t>
        </is>
      </c>
      <c r="H423" s="17" t="inlineStr">
        <is>
          <t>Attacker</t>
        </is>
      </c>
      <c r="I423" s="18" t="n">
        <v>0</v>
      </c>
      <c r="J423" s="18" t="n">
        <v>4</v>
      </c>
      <c r="K423" s="18" t="n">
        <v>435</v>
      </c>
      <c r="L423" s="18" t="n">
        <v>361</v>
      </c>
      <c r="M423" s="18" t="n">
        <v>383</v>
      </c>
      <c r="N423" s="18" t="n">
        <v>391</v>
      </c>
      <c r="O423" s="18" t="n">
        <v>397</v>
      </c>
      <c r="P423" s="18" t="n">
        <v>412</v>
      </c>
      <c r="Q423" s="18" t="n">
        <v>44</v>
      </c>
      <c r="R423" s="18" t="n">
        <v>37</v>
      </c>
      <c r="S423" s="18" t="n">
        <v>39</v>
      </c>
      <c r="T423" s="18" t="n">
        <v>40</v>
      </c>
      <c r="U423" s="18" t="n">
        <v>40</v>
      </c>
      <c r="V423" s="18" t="n">
        <v>42</v>
      </c>
      <c r="W423" s="20" t="n"/>
      <c r="X423" s="20" t="n"/>
      <c r="Y423" s="20" t="n"/>
      <c r="Z423" s="20" t="n"/>
      <c r="AA423" s="20" t="n"/>
      <c r="AB423" s="20" t="n"/>
      <c r="AC423" s="21">
        <f>IF(W423="","",W423-K423)</f>
        <v/>
      </c>
      <c r="AD423" s="21">
        <f>IF(X423="","",X423-L423)</f>
        <v/>
      </c>
      <c r="AE423" s="21">
        <f>IF(Y423="","",Y423-M423)</f>
        <v/>
      </c>
      <c r="AF423" s="21">
        <f>IF(Z423="","",Z423-N423)</f>
        <v/>
      </c>
      <c r="AG423" s="21">
        <f>IF(AA423="","",AA423-O423)</f>
        <v/>
      </c>
      <c r="AH423" s="21">
        <f>IF(AB423="","",AB423-P423)</f>
        <v/>
      </c>
      <c r="AI423" s="18">
        <f>IF(COUNTA(W423:AB423)=0,"未入力",IF(COUNTA(W423:AB423)&lt;6,"一部入力",IF(COUNTIF(AC423:AH423,0)=6,"一致","差分あり")))</f>
        <v/>
      </c>
      <c r="AJ4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3" s="19" t="inlineStr"/>
      <c r="AL423" s="18" t="inlineStr">
        <is>
          <t>2026-06-29</t>
        </is>
      </c>
    </row>
    <row r="424" ht="22" customHeight="1">
      <c r="A424" s="17" t="inlineStr">
        <is>
          <t>1005304-LB4</t>
        </is>
      </c>
      <c r="B424" s="18" t="n">
        <v>1005304</v>
      </c>
      <c r="C424" s="17" t="inlineStr">
        <is>
          <t>FMikoto04</t>
        </is>
      </c>
      <c r="D424" s="17" t="inlineStr">
        <is>
          <t>FMikoto</t>
        </is>
      </c>
      <c r="E424" s="17" t="inlineStr">
        <is>
          <t>命 吹雪</t>
        </is>
      </c>
      <c r="F424" s="19" t="inlineStr">
        <is>
          <t>Frozen Moon, Melting Heart</t>
        </is>
      </c>
      <c r="G424" s="18" t="inlineStr">
        <is>
          <t>SS</t>
        </is>
      </c>
      <c r="H424" s="17" t="inlineStr">
        <is>
          <t>Attacker</t>
        </is>
      </c>
      <c r="I424" s="18" t="n">
        <v>4</v>
      </c>
      <c r="J424" s="18" t="n">
        <v>4</v>
      </c>
      <c r="K424" s="18" t="n">
        <v>523</v>
      </c>
      <c r="L424" s="18" t="n">
        <v>448</v>
      </c>
      <c r="M424" s="18" t="n">
        <v>469</v>
      </c>
      <c r="N424" s="18" t="n">
        <v>476</v>
      </c>
      <c r="O424" s="18" t="n">
        <v>484</v>
      </c>
      <c r="P424" s="18" t="n">
        <v>499</v>
      </c>
      <c r="Q424" s="18" t="n">
        <v>53</v>
      </c>
      <c r="R424" s="18" t="n">
        <v>45</v>
      </c>
      <c r="S424" s="18" t="n">
        <v>47</v>
      </c>
      <c r="T424" s="18" t="n">
        <v>48</v>
      </c>
      <c r="U424" s="18" t="n">
        <v>49</v>
      </c>
      <c r="V424" s="18" t="n">
        <v>50</v>
      </c>
      <c r="W424" s="20" t="n"/>
      <c r="X424" s="20" t="n"/>
      <c r="Y424" s="20" t="n"/>
      <c r="Z424" s="20" t="n"/>
      <c r="AA424" s="20" t="n"/>
      <c r="AB424" s="20" t="n"/>
      <c r="AC424" s="21">
        <f>IF(W424="","",W424-K424)</f>
        <v/>
      </c>
      <c r="AD424" s="21">
        <f>IF(X424="","",X424-L424)</f>
        <v/>
      </c>
      <c r="AE424" s="21">
        <f>IF(Y424="","",Y424-M424)</f>
        <v/>
      </c>
      <c r="AF424" s="21">
        <f>IF(Z424="","",Z424-N424)</f>
        <v/>
      </c>
      <c r="AG424" s="21">
        <f>IF(AA424="","",AA424-O424)</f>
        <v/>
      </c>
      <c r="AH424" s="21">
        <f>IF(AB424="","",AB424-P424)</f>
        <v/>
      </c>
      <c r="AI424" s="18">
        <f>IF(COUNTA(W424:AB424)=0,"未入力",IF(COUNTA(W424:AB424)&lt;6,"一部入力",IF(COUNTIF(AC424:AH424,0)=6,"一致","差分あり")))</f>
        <v/>
      </c>
      <c r="AJ4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4" s="19" t="inlineStr"/>
      <c r="AL424" s="18" t="inlineStr">
        <is>
          <t>2026-06-29</t>
        </is>
      </c>
    </row>
    <row r="425" ht="22" customHeight="1">
      <c r="A425" s="17" t="inlineStr">
        <is>
          <t>1005401-LB0</t>
        </is>
      </c>
      <c r="B425" s="18" t="n">
        <v>1005401</v>
      </c>
      <c r="C425" s="17" t="inlineStr">
        <is>
          <t>RMurohushi01</t>
        </is>
      </c>
      <c r="D425" s="17" t="inlineStr">
        <is>
          <t>RMurohushi</t>
        </is>
      </c>
      <c r="E425" s="17" t="inlineStr">
        <is>
          <t>室伏 理沙</t>
        </is>
      </c>
      <c r="F425" s="19" t="inlineStr">
        <is>
          <t>親愛のレシーバー</t>
        </is>
      </c>
      <c r="G425" s="18" t="inlineStr">
        <is>
          <t>A</t>
        </is>
      </c>
      <c r="H425" s="17" t="inlineStr">
        <is>
          <t>Healer</t>
        </is>
      </c>
      <c r="I425" s="18" t="n">
        <v>0</v>
      </c>
      <c r="J425" s="18" t="n">
        <v>20</v>
      </c>
      <c r="K425" s="18" t="n">
        <v>291</v>
      </c>
      <c r="L425" s="18" t="n">
        <v>244</v>
      </c>
      <c r="M425" s="18" t="n">
        <v>256</v>
      </c>
      <c r="N425" s="18" t="n">
        <v>282</v>
      </c>
      <c r="O425" s="18" t="n">
        <v>273</v>
      </c>
      <c r="P425" s="18" t="n">
        <v>290</v>
      </c>
      <c r="Q425" s="18" t="n">
        <v>30</v>
      </c>
      <c r="R425" s="18" t="n">
        <v>25</v>
      </c>
      <c r="S425" s="18" t="n">
        <v>26</v>
      </c>
      <c r="T425" s="18" t="n">
        <v>29</v>
      </c>
      <c r="U425" s="18" t="n">
        <v>28</v>
      </c>
      <c r="V425" s="18" t="n">
        <v>29</v>
      </c>
      <c r="W425" s="20" t="n"/>
      <c r="X425" s="20" t="n"/>
      <c r="Y425" s="20" t="n"/>
      <c r="Z425" s="20" t="n"/>
      <c r="AA425" s="20" t="n"/>
      <c r="AB425" s="20" t="n"/>
      <c r="AC425" s="21">
        <f>IF(W425="","",W425-K425)</f>
        <v/>
      </c>
      <c r="AD425" s="21">
        <f>IF(X425="","",X425-L425)</f>
        <v/>
      </c>
      <c r="AE425" s="21">
        <f>IF(Y425="","",Y425-M425)</f>
        <v/>
      </c>
      <c r="AF425" s="21">
        <f>IF(Z425="","",Z425-N425)</f>
        <v/>
      </c>
      <c r="AG425" s="21">
        <f>IF(AA425="","",AA425-O425)</f>
        <v/>
      </c>
      <c r="AH425" s="21">
        <f>IF(AB425="","",AB425-P425)</f>
        <v/>
      </c>
      <c r="AI425" s="18">
        <f>IF(COUNTA(W425:AB425)=0,"未入力",IF(COUNTA(W425:AB425)&lt;6,"一部入力",IF(COUNTIF(AC425:AH425,0)=6,"一致","差分あり")))</f>
        <v/>
      </c>
      <c r="AJ4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5" s="19" t="inlineStr"/>
      <c r="AL425" s="18" t="inlineStr">
        <is>
          <t>2026-06-29</t>
        </is>
      </c>
    </row>
    <row r="426" ht="22" customHeight="1">
      <c r="A426" s="17" t="inlineStr">
        <is>
          <t>1005401-LB20</t>
        </is>
      </c>
      <c r="B426" s="18" t="n">
        <v>1005401</v>
      </c>
      <c r="C426" s="17" t="inlineStr">
        <is>
          <t>RMurohushi01</t>
        </is>
      </c>
      <c r="D426" s="17" t="inlineStr">
        <is>
          <t>RMurohushi</t>
        </is>
      </c>
      <c r="E426" s="17" t="inlineStr">
        <is>
          <t>室伏 理沙</t>
        </is>
      </c>
      <c r="F426" s="19" t="inlineStr">
        <is>
          <t>親愛のレシーバー</t>
        </is>
      </c>
      <c r="G426" s="18" t="inlineStr">
        <is>
          <t>A</t>
        </is>
      </c>
      <c r="H426" s="17" t="inlineStr">
        <is>
          <t>Healer</t>
        </is>
      </c>
      <c r="I426" s="18" t="n">
        <v>20</v>
      </c>
      <c r="J426" s="18" t="n">
        <v>20</v>
      </c>
      <c r="K426" s="18" t="n">
        <v>337</v>
      </c>
      <c r="L426" s="18" t="n">
        <v>288</v>
      </c>
      <c r="M426" s="18" t="n">
        <v>302</v>
      </c>
      <c r="N426" s="18" t="n">
        <v>326</v>
      </c>
      <c r="O426" s="18" t="n">
        <v>316</v>
      </c>
      <c r="P426" s="18" t="n">
        <v>334</v>
      </c>
      <c r="Q426" s="18" t="n">
        <v>34</v>
      </c>
      <c r="R426" s="18" t="n">
        <v>29</v>
      </c>
      <c r="S426" s="18" t="n">
        <v>31</v>
      </c>
      <c r="T426" s="18" t="n">
        <v>33</v>
      </c>
      <c r="U426" s="18" t="n">
        <v>32</v>
      </c>
      <c r="V426" s="18" t="n">
        <v>34</v>
      </c>
      <c r="W426" s="20" t="n"/>
      <c r="X426" s="20" t="n"/>
      <c r="Y426" s="20" t="n"/>
      <c r="Z426" s="20" t="n"/>
      <c r="AA426" s="20" t="n"/>
      <c r="AB426" s="20" t="n"/>
      <c r="AC426" s="21">
        <f>IF(W426="","",W426-K426)</f>
        <v/>
      </c>
      <c r="AD426" s="21">
        <f>IF(X426="","",X426-L426)</f>
        <v/>
      </c>
      <c r="AE426" s="21">
        <f>IF(Y426="","",Y426-M426)</f>
        <v/>
      </c>
      <c r="AF426" s="21">
        <f>IF(Z426="","",Z426-N426)</f>
        <v/>
      </c>
      <c r="AG426" s="21">
        <f>IF(AA426="","",AA426-O426)</f>
        <v/>
      </c>
      <c r="AH426" s="21">
        <f>IF(AB426="","",AB426-P426)</f>
        <v/>
      </c>
      <c r="AI426" s="18">
        <f>IF(COUNTA(W426:AB426)=0,"未入力",IF(COUNTA(W426:AB426)&lt;6,"一部入力",IF(COUNTIF(AC426:AH426,0)=6,"一致","差分あり")))</f>
        <v/>
      </c>
      <c r="AJ4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6" s="19" t="inlineStr"/>
      <c r="AL426" s="18" t="inlineStr">
        <is>
          <t>2026-06-29</t>
        </is>
      </c>
    </row>
    <row r="427" ht="22" customHeight="1">
      <c r="A427" s="17" t="inlineStr">
        <is>
          <t>1005402-LB0</t>
        </is>
      </c>
      <c r="B427" s="18" t="n">
        <v>1005402</v>
      </c>
      <c r="C427" s="17" t="inlineStr">
        <is>
          <t>RMurohushi02</t>
        </is>
      </c>
      <c r="D427" s="17" t="inlineStr">
        <is>
          <t>RMurohushi</t>
        </is>
      </c>
      <c r="E427" s="17" t="inlineStr">
        <is>
          <t>室伏 理沙</t>
        </is>
      </c>
      <c r="F427" s="19" t="inlineStr">
        <is>
          <t>痛いの痛いの飛んでけ〜♪</t>
        </is>
      </c>
      <c r="G427" s="18" t="inlineStr">
        <is>
          <t>S</t>
        </is>
      </c>
      <c r="H427" s="17" t="inlineStr">
        <is>
          <t>Healer</t>
        </is>
      </c>
      <c r="I427" s="18" t="n">
        <v>0</v>
      </c>
      <c r="J427" s="18" t="n">
        <v>10</v>
      </c>
      <c r="K427" s="18" t="n">
        <v>309</v>
      </c>
      <c r="L427" s="18" t="n">
        <v>344</v>
      </c>
      <c r="M427" s="18" t="n">
        <v>329</v>
      </c>
      <c r="N427" s="18" t="n">
        <v>309</v>
      </c>
      <c r="O427" s="18" t="n">
        <v>342</v>
      </c>
      <c r="P427" s="18" t="n">
        <v>317</v>
      </c>
      <c r="Q427" s="18" t="n">
        <v>31</v>
      </c>
      <c r="R427" s="18" t="n">
        <v>35</v>
      </c>
      <c r="S427" s="18" t="n">
        <v>33</v>
      </c>
      <c r="T427" s="18" t="n">
        <v>31</v>
      </c>
      <c r="U427" s="18" t="n">
        <v>35</v>
      </c>
      <c r="V427" s="18" t="n">
        <v>32</v>
      </c>
      <c r="W427" s="20" t="n"/>
      <c r="X427" s="20" t="n"/>
      <c r="Y427" s="20" t="n"/>
      <c r="Z427" s="20" t="n"/>
      <c r="AA427" s="20" t="n"/>
      <c r="AB427" s="20" t="n"/>
      <c r="AC427" s="21">
        <f>IF(W427="","",W427-K427)</f>
        <v/>
      </c>
      <c r="AD427" s="21">
        <f>IF(X427="","",X427-L427)</f>
        <v/>
      </c>
      <c r="AE427" s="21">
        <f>IF(Y427="","",Y427-M427)</f>
        <v/>
      </c>
      <c r="AF427" s="21">
        <f>IF(Z427="","",Z427-N427)</f>
        <v/>
      </c>
      <c r="AG427" s="21">
        <f>IF(AA427="","",AA427-O427)</f>
        <v/>
      </c>
      <c r="AH427" s="21">
        <f>IF(AB427="","",AB427-P427)</f>
        <v/>
      </c>
      <c r="AI427" s="18">
        <f>IF(COUNTA(W427:AB427)=0,"未入力",IF(COUNTA(W427:AB427)&lt;6,"一部入力",IF(COUNTIF(AC427:AH427,0)=6,"一致","差分あり")))</f>
        <v/>
      </c>
      <c r="AJ4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7" s="19" t="inlineStr"/>
      <c r="AL427" s="18" t="inlineStr">
        <is>
          <t>2026-06-29</t>
        </is>
      </c>
    </row>
    <row r="428" ht="22" customHeight="1">
      <c r="A428" s="17" t="inlineStr">
        <is>
          <t>1005402-LB10</t>
        </is>
      </c>
      <c r="B428" s="18" t="n">
        <v>1005402</v>
      </c>
      <c r="C428" s="17" t="inlineStr">
        <is>
          <t>RMurohushi02</t>
        </is>
      </c>
      <c r="D428" s="17" t="inlineStr">
        <is>
          <t>RMurohushi</t>
        </is>
      </c>
      <c r="E428" s="17" t="inlineStr">
        <is>
          <t>室伏 理沙</t>
        </is>
      </c>
      <c r="F428" s="19" t="inlineStr">
        <is>
          <t>痛いの痛いの飛んでけ〜♪</t>
        </is>
      </c>
      <c r="G428" s="18" t="inlineStr">
        <is>
          <t>S</t>
        </is>
      </c>
      <c r="H428" s="17" t="inlineStr">
        <is>
          <t>Healer</t>
        </is>
      </c>
      <c r="I428" s="18" t="n">
        <v>10</v>
      </c>
      <c r="J428" s="18" t="n">
        <v>10</v>
      </c>
      <c r="K428" s="18" t="n">
        <v>375</v>
      </c>
      <c r="L428" s="18" t="n">
        <v>412</v>
      </c>
      <c r="M428" s="18" t="n">
        <v>398</v>
      </c>
      <c r="N428" s="18" t="n">
        <v>375</v>
      </c>
      <c r="O428" s="18" t="n">
        <v>407</v>
      </c>
      <c r="P428" s="18" t="n">
        <v>383</v>
      </c>
      <c r="Q428" s="18" t="n">
        <v>38</v>
      </c>
      <c r="R428" s="18" t="n">
        <v>42</v>
      </c>
      <c r="S428" s="18" t="n">
        <v>40</v>
      </c>
      <c r="T428" s="18" t="n">
        <v>38</v>
      </c>
      <c r="U428" s="18" t="n">
        <v>41</v>
      </c>
      <c r="V428" s="18" t="n">
        <v>39</v>
      </c>
      <c r="W428" s="20" t="n"/>
      <c r="X428" s="20" t="n"/>
      <c r="Y428" s="20" t="n"/>
      <c r="Z428" s="20" t="n"/>
      <c r="AA428" s="20" t="n"/>
      <c r="AB428" s="20" t="n"/>
      <c r="AC428" s="21">
        <f>IF(W428="","",W428-K428)</f>
        <v/>
      </c>
      <c r="AD428" s="21">
        <f>IF(X428="","",X428-L428)</f>
        <v/>
      </c>
      <c r="AE428" s="21">
        <f>IF(Y428="","",Y428-M428)</f>
        <v/>
      </c>
      <c r="AF428" s="21">
        <f>IF(Z428="","",Z428-N428)</f>
        <v/>
      </c>
      <c r="AG428" s="21">
        <f>IF(AA428="","",AA428-O428)</f>
        <v/>
      </c>
      <c r="AH428" s="21">
        <f>IF(AB428="","",AB428-P428)</f>
        <v/>
      </c>
      <c r="AI428" s="18">
        <f>IF(COUNTA(W428:AB428)=0,"未入力",IF(COUNTA(W428:AB428)&lt;6,"一部入力",IF(COUNTIF(AC428:AH428,0)=6,"一致","差分あり")))</f>
        <v/>
      </c>
      <c r="AJ4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8" s="19" t="inlineStr"/>
      <c r="AL428" s="18" t="inlineStr">
        <is>
          <t>2026-06-29</t>
        </is>
      </c>
    </row>
    <row r="429" ht="22" customHeight="1">
      <c r="A429" s="17" t="inlineStr">
        <is>
          <t>1005403-LB0</t>
        </is>
      </c>
      <c r="B429" s="18" t="n">
        <v>1005403</v>
      </c>
      <c r="C429" s="17" t="inlineStr">
        <is>
          <t>RMurohushi03</t>
        </is>
      </c>
      <c r="D429" s="17" t="inlineStr">
        <is>
          <t>RMurohushi</t>
        </is>
      </c>
      <c r="E429" s="17" t="inlineStr">
        <is>
          <t>室伏 理沙</t>
        </is>
      </c>
      <c r="F429" s="19" t="inlineStr">
        <is>
          <t>早くおうちに帰りましょ</t>
        </is>
      </c>
      <c r="G429" s="18" t="inlineStr">
        <is>
          <t>SS</t>
        </is>
      </c>
      <c r="H429" s="17" t="inlineStr">
        <is>
          <t>Healer</t>
        </is>
      </c>
      <c r="I429" s="18" t="n">
        <v>0</v>
      </c>
      <c r="J429" s="18" t="n">
        <v>4</v>
      </c>
      <c r="K429" s="18" t="n">
        <v>380</v>
      </c>
      <c r="L429" s="18" t="n">
        <v>374</v>
      </c>
      <c r="M429" s="18" t="n">
        <v>427</v>
      </c>
      <c r="N429" s="18" t="n">
        <v>393</v>
      </c>
      <c r="O429" s="18" t="n">
        <v>356</v>
      </c>
      <c r="P429" s="18" t="n">
        <v>342</v>
      </c>
      <c r="Q429" s="18" t="n">
        <v>38</v>
      </c>
      <c r="R429" s="18" t="n">
        <v>38</v>
      </c>
      <c r="S429" s="18" t="n">
        <v>43</v>
      </c>
      <c r="T429" s="18" t="n">
        <v>40</v>
      </c>
      <c r="U429" s="18" t="n">
        <v>36</v>
      </c>
      <c r="V429" s="18" t="n">
        <v>35</v>
      </c>
      <c r="W429" s="20" t="n"/>
      <c r="X429" s="20" t="n"/>
      <c r="Y429" s="20" t="n"/>
      <c r="Z429" s="20" t="n"/>
      <c r="AA429" s="20" t="n"/>
      <c r="AB429" s="20" t="n"/>
      <c r="AC429" s="21">
        <f>IF(W429="","",W429-K429)</f>
        <v/>
      </c>
      <c r="AD429" s="21">
        <f>IF(X429="","",X429-L429)</f>
        <v/>
      </c>
      <c r="AE429" s="21">
        <f>IF(Y429="","",Y429-M429)</f>
        <v/>
      </c>
      <c r="AF429" s="21">
        <f>IF(Z429="","",Z429-N429)</f>
        <v/>
      </c>
      <c r="AG429" s="21">
        <f>IF(AA429="","",AA429-O429)</f>
        <v/>
      </c>
      <c r="AH429" s="21">
        <f>IF(AB429="","",AB429-P429)</f>
        <v/>
      </c>
      <c r="AI429" s="18">
        <f>IF(COUNTA(W429:AB429)=0,"未入力",IF(COUNTA(W429:AB429)&lt;6,"一部入力",IF(COUNTIF(AC429:AH429,0)=6,"一致","差分あり")))</f>
        <v/>
      </c>
      <c r="AJ4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29" s="19" t="inlineStr"/>
      <c r="AL429" s="18" t="inlineStr">
        <is>
          <t>2026-06-29</t>
        </is>
      </c>
    </row>
    <row r="430" ht="22" customHeight="1">
      <c r="A430" s="17" t="inlineStr">
        <is>
          <t>1005403-LB4</t>
        </is>
      </c>
      <c r="B430" s="18" t="n">
        <v>1005403</v>
      </c>
      <c r="C430" s="17" t="inlineStr">
        <is>
          <t>RMurohushi03</t>
        </is>
      </c>
      <c r="D430" s="17" t="inlineStr">
        <is>
          <t>RMurohushi</t>
        </is>
      </c>
      <c r="E430" s="17" t="inlineStr">
        <is>
          <t>室伏 理沙</t>
        </is>
      </c>
      <c r="F430" s="19" t="inlineStr">
        <is>
          <t>早くおうちに帰りましょ</t>
        </is>
      </c>
      <c r="G430" s="18" t="inlineStr">
        <is>
          <t>SS</t>
        </is>
      </c>
      <c r="H430" s="17" t="inlineStr">
        <is>
          <t>Healer</t>
        </is>
      </c>
      <c r="I430" s="18" t="n">
        <v>4</v>
      </c>
      <c r="J430" s="18" t="n">
        <v>4</v>
      </c>
      <c r="K430" s="18" t="n">
        <v>468</v>
      </c>
      <c r="L430" s="18" t="n">
        <v>461</v>
      </c>
      <c r="M430" s="18" t="n">
        <v>518</v>
      </c>
      <c r="N430" s="18" t="n">
        <v>481</v>
      </c>
      <c r="O430" s="18" t="n">
        <v>442</v>
      </c>
      <c r="P430" s="18" t="n">
        <v>430</v>
      </c>
      <c r="Q430" s="18" t="n">
        <v>47</v>
      </c>
      <c r="R430" s="18" t="n">
        <v>47</v>
      </c>
      <c r="S430" s="18" t="n">
        <v>52</v>
      </c>
      <c r="T430" s="18" t="n">
        <v>49</v>
      </c>
      <c r="U430" s="18" t="n">
        <v>45</v>
      </c>
      <c r="V430" s="18" t="n">
        <v>43</v>
      </c>
      <c r="W430" s="20" t="n"/>
      <c r="X430" s="20" t="n"/>
      <c r="Y430" s="20" t="n"/>
      <c r="Z430" s="20" t="n"/>
      <c r="AA430" s="20" t="n"/>
      <c r="AB430" s="20" t="n"/>
      <c r="AC430" s="21">
        <f>IF(W430="","",W430-K430)</f>
        <v/>
      </c>
      <c r="AD430" s="21">
        <f>IF(X430="","",X430-L430)</f>
        <v/>
      </c>
      <c r="AE430" s="21">
        <f>IF(Y430="","",Y430-M430)</f>
        <v/>
      </c>
      <c r="AF430" s="21">
        <f>IF(Z430="","",Z430-N430)</f>
        <v/>
      </c>
      <c r="AG430" s="21">
        <f>IF(AA430="","",AA430-O430)</f>
        <v/>
      </c>
      <c r="AH430" s="21">
        <f>IF(AB430="","",AB430-P430)</f>
        <v/>
      </c>
      <c r="AI430" s="18">
        <f>IF(COUNTA(W430:AB430)=0,"未入力",IF(COUNTA(W430:AB430)&lt;6,"一部入力",IF(COUNTIF(AC430:AH430,0)=6,"一致","差分あり")))</f>
        <v/>
      </c>
      <c r="AJ4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0" s="19" t="inlineStr"/>
      <c r="AL430" s="18" t="inlineStr">
        <is>
          <t>2026-06-29</t>
        </is>
      </c>
    </row>
    <row r="431" ht="22" customHeight="1">
      <c r="A431" s="17" t="inlineStr">
        <is>
          <t>1005404-LB0</t>
        </is>
      </c>
      <c r="B431" s="18" t="n">
        <v>1005404</v>
      </c>
      <c r="C431" s="17" t="inlineStr">
        <is>
          <t>RMurohushi04</t>
        </is>
      </c>
      <c r="D431" s="17" t="inlineStr">
        <is>
          <t>RMurohushi</t>
        </is>
      </c>
      <c r="E431" s="17" t="inlineStr">
        <is>
          <t>室伏 理沙</t>
        </is>
      </c>
      <c r="F431" s="19" t="inlineStr">
        <is>
          <t>あまいろの花</t>
        </is>
      </c>
      <c r="G431" s="18" t="inlineStr">
        <is>
          <t>S</t>
        </is>
      </c>
      <c r="H431" s="17" t="inlineStr">
        <is>
          <t>Healer</t>
        </is>
      </c>
      <c r="I431" s="18" t="n">
        <v>0</v>
      </c>
      <c r="J431" s="18" t="n">
        <v>10</v>
      </c>
      <c r="K431" s="18" t="n">
        <v>350</v>
      </c>
      <c r="L431" s="18" t="n">
        <v>304</v>
      </c>
      <c r="M431" s="18" t="n">
        <v>318</v>
      </c>
      <c r="N431" s="18" t="n">
        <v>320</v>
      </c>
      <c r="O431" s="18" t="n">
        <v>310</v>
      </c>
      <c r="P431" s="18" t="n">
        <v>350</v>
      </c>
      <c r="Q431" s="18" t="n">
        <v>35</v>
      </c>
      <c r="R431" s="18" t="n">
        <v>31</v>
      </c>
      <c r="S431" s="18" t="n">
        <v>32</v>
      </c>
      <c r="T431" s="18" t="n">
        <v>32</v>
      </c>
      <c r="U431" s="18" t="n">
        <v>31</v>
      </c>
      <c r="V431" s="18" t="n">
        <v>35</v>
      </c>
      <c r="W431" s="20" t="n"/>
      <c r="X431" s="20" t="n"/>
      <c r="Y431" s="20" t="n"/>
      <c r="Z431" s="20" t="n"/>
      <c r="AA431" s="20" t="n"/>
      <c r="AB431" s="20" t="n"/>
      <c r="AC431" s="21">
        <f>IF(W431="","",W431-K431)</f>
        <v/>
      </c>
      <c r="AD431" s="21">
        <f>IF(X431="","",X431-L431)</f>
        <v/>
      </c>
      <c r="AE431" s="21">
        <f>IF(Y431="","",Y431-M431)</f>
        <v/>
      </c>
      <c r="AF431" s="21">
        <f>IF(Z431="","",Z431-N431)</f>
        <v/>
      </c>
      <c r="AG431" s="21">
        <f>IF(AA431="","",AA431-O431)</f>
        <v/>
      </c>
      <c r="AH431" s="21">
        <f>IF(AB431="","",AB431-P431)</f>
        <v/>
      </c>
      <c r="AI431" s="18">
        <f>IF(COUNTA(W431:AB431)=0,"未入力",IF(COUNTA(W431:AB431)&lt;6,"一部入力",IF(COUNTIF(AC431:AH431,0)=6,"一致","差分あり")))</f>
        <v/>
      </c>
      <c r="AJ4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1" s="19" t="inlineStr"/>
      <c r="AL431" s="18" t="inlineStr">
        <is>
          <t>2026-06-29</t>
        </is>
      </c>
    </row>
    <row r="432" ht="22" customHeight="1">
      <c r="A432" s="17" t="inlineStr">
        <is>
          <t>1005404-LB10</t>
        </is>
      </c>
      <c r="B432" s="18" t="n">
        <v>1005404</v>
      </c>
      <c r="C432" s="17" t="inlineStr">
        <is>
          <t>RMurohushi04</t>
        </is>
      </c>
      <c r="D432" s="17" t="inlineStr">
        <is>
          <t>RMurohushi</t>
        </is>
      </c>
      <c r="E432" s="17" t="inlineStr">
        <is>
          <t>室伏 理沙</t>
        </is>
      </c>
      <c r="F432" s="19" t="inlineStr">
        <is>
          <t>あまいろの花</t>
        </is>
      </c>
      <c r="G432" s="18" t="inlineStr">
        <is>
          <t>S</t>
        </is>
      </c>
      <c r="H432" s="17" t="inlineStr">
        <is>
          <t>Healer</t>
        </is>
      </c>
      <c r="I432" s="18" t="n">
        <v>10</v>
      </c>
      <c r="J432" s="18" t="n">
        <v>10</v>
      </c>
      <c r="K432" s="18" t="n">
        <v>419</v>
      </c>
      <c r="L432" s="18" t="n">
        <v>369</v>
      </c>
      <c r="M432" s="18" t="n">
        <v>386</v>
      </c>
      <c r="N432" s="18" t="n">
        <v>386</v>
      </c>
      <c r="O432" s="18" t="n">
        <v>375</v>
      </c>
      <c r="P432" s="18" t="n">
        <v>416</v>
      </c>
      <c r="Q432" s="18" t="n">
        <v>42</v>
      </c>
      <c r="R432" s="18" t="n">
        <v>37</v>
      </c>
      <c r="S432" s="18" t="n">
        <v>39</v>
      </c>
      <c r="T432" s="18" t="n">
        <v>39</v>
      </c>
      <c r="U432" s="18" t="n">
        <v>38</v>
      </c>
      <c r="V432" s="18" t="n">
        <v>42</v>
      </c>
      <c r="W432" s="20" t="n"/>
      <c r="X432" s="20" t="n"/>
      <c r="Y432" s="20" t="n"/>
      <c r="Z432" s="20" t="n"/>
      <c r="AA432" s="20" t="n"/>
      <c r="AB432" s="20" t="n"/>
      <c r="AC432" s="21">
        <f>IF(W432="","",W432-K432)</f>
        <v/>
      </c>
      <c r="AD432" s="21">
        <f>IF(X432="","",X432-L432)</f>
        <v/>
      </c>
      <c r="AE432" s="21">
        <f>IF(Y432="","",Y432-M432)</f>
        <v/>
      </c>
      <c r="AF432" s="21">
        <f>IF(Z432="","",Z432-N432)</f>
        <v/>
      </c>
      <c r="AG432" s="21">
        <f>IF(AA432="","",AA432-O432)</f>
        <v/>
      </c>
      <c r="AH432" s="21">
        <f>IF(AB432="","",AB432-P432)</f>
        <v/>
      </c>
      <c r="AI432" s="18">
        <f>IF(COUNTA(W432:AB432)=0,"未入力",IF(COUNTA(W432:AB432)&lt;6,"一部入力",IF(COUNTIF(AC432:AH432,0)=6,"一致","差分あり")))</f>
        <v/>
      </c>
      <c r="AJ4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2" s="19" t="inlineStr"/>
      <c r="AL432" s="18" t="inlineStr">
        <is>
          <t>2026-06-29</t>
        </is>
      </c>
    </row>
    <row r="433" ht="22" customHeight="1">
      <c r="A433" s="17" t="inlineStr">
        <is>
          <t>1005405-LB0</t>
        </is>
      </c>
      <c r="B433" s="18" t="n">
        <v>1005405</v>
      </c>
      <c r="C433" s="17" t="inlineStr">
        <is>
          <t>RMurohushi05</t>
        </is>
      </c>
      <c r="D433" s="17" t="inlineStr">
        <is>
          <t>RMurohushi</t>
        </is>
      </c>
      <c r="E433" s="17" t="inlineStr">
        <is>
          <t>室伏 理沙</t>
        </is>
      </c>
      <c r="F433" s="19" t="inlineStr">
        <is>
          <t>潜入、笑顔で技術交流会</t>
        </is>
      </c>
      <c r="G433" s="18" t="inlineStr">
        <is>
          <t>SS</t>
        </is>
      </c>
      <c r="H433" s="17" t="inlineStr">
        <is>
          <t>Healer</t>
        </is>
      </c>
      <c r="I433" s="18" t="n">
        <v>0</v>
      </c>
      <c r="J433" s="18" t="n">
        <v>4</v>
      </c>
      <c r="K433" s="18" t="n">
        <v>402</v>
      </c>
      <c r="L433" s="18" t="n">
        <v>396</v>
      </c>
      <c r="M433" s="18" t="n">
        <v>450</v>
      </c>
      <c r="N433" s="18" t="n">
        <v>415</v>
      </c>
      <c r="O433" s="18" t="n">
        <v>378</v>
      </c>
      <c r="P433" s="18" t="n">
        <v>364</v>
      </c>
      <c r="Q433" s="18" t="n">
        <v>41</v>
      </c>
      <c r="R433" s="18" t="n">
        <v>40</v>
      </c>
      <c r="S433" s="18" t="n">
        <v>45</v>
      </c>
      <c r="T433" s="18" t="n">
        <v>42</v>
      </c>
      <c r="U433" s="18" t="n">
        <v>38</v>
      </c>
      <c r="V433" s="18" t="n">
        <v>37</v>
      </c>
      <c r="W433" s="20" t="n"/>
      <c r="X433" s="20" t="n"/>
      <c r="Y433" s="20" t="n"/>
      <c r="Z433" s="20" t="n"/>
      <c r="AA433" s="20" t="n"/>
      <c r="AB433" s="20" t="n"/>
      <c r="AC433" s="21">
        <f>IF(W433="","",W433-K433)</f>
        <v/>
      </c>
      <c r="AD433" s="21">
        <f>IF(X433="","",X433-L433)</f>
        <v/>
      </c>
      <c r="AE433" s="21">
        <f>IF(Y433="","",Y433-M433)</f>
        <v/>
      </c>
      <c r="AF433" s="21">
        <f>IF(Z433="","",Z433-N433)</f>
        <v/>
      </c>
      <c r="AG433" s="21">
        <f>IF(AA433="","",AA433-O433)</f>
        <v/>
      </c>
      <c r="AH433" s="21">
        <f>IF(AB433="","",AB433-P433)</f>
        <v/>
      </c>
      <c r="AI433" s="18">
        <f>IF(COUNTA(W433:AB433)=0,"未入力",IF(COUNTA(W433:AB433)&lt;6,"一部入力",IF(COUNTIF(AC433:AH433,0)=6,"一致","差分あり")))</f>
        <v/>
      </c>
      <c r="AJ4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3" s="19" t="inlineStr"/>
      <c r="AL433" s="18" t="inlineStr">
        <is>
          <t>2026-06-29</t>
        </is>
      </c>
    </row>
    <row r="434" ht="22" customHeight="1">
      <c r="A434" s="17" t="inlineStr">
        <is>
          <t>1005405-LB4</t>
        </is>
      </c>
      <c r="B434" s="18" t="n">
        <v>1005405</v>
      </c>
      <c r="C434" s="17" t="inlineStr">
        <is>
          <t>RMurohushi05</t>
        </is>
      </c>
      <c r="D434" s="17" t="inlineStr">
        <is>
          <t>RMurohushi</t>
        </is>
      </c>
      <c r="E434" s="17" t="inlineStr">
        <is>
          <t>室伏 理沙</t>
        </is>
      </c>
      <c r="F434" s="19" t="inlineStr">
        <is>
          <t>潜入、笑顔で技術交流会</t>
        </is>
      </c>
      <c r="G434" s="18" t="inlineStr">
        <is>
          <t>SS</t>
        </is>
      </c>
      <c r="H434" s="17" t="inlineStr">
        <is>
          <t>Healer</t>
        </is>
      </c>
      <c r="I434" s="18" t="n">
        <v>4</v>
      </c>
      <c r="J434" s="18" t="n">
        <v>4</v>
      </c>
      <c r="K434" s="18" t="n">
        <v>491</v>
      </c>
      <c r="L434" s="18" t="n">
        <v>482</v>
      </c>
      <c r="M434" s="18" t="n">
        <v>541</v>
      </c>
      <c r="N434" s="18" t="n">
        <v>504</v>
      </c>
      <c r="O434" s="18" t="n">
        <v>463</v>
      </c>
      <c r="P434" s="18" t="n">
        <v>452</v>
      </c>
      <c r="Q434" s="18" t="n">
        <v>50</v>
      </c>
      <c r="R434" s="18" t="n">
        <v>49</v>
      </c>
      <c r="S434" s="18" t="n">
        <v>55</v>
      </c>
      <c r="T434" s="18" t="n">
        <v>51</v>
      </c>
      <c r="U434" s="18" t="n">
        <v>47</v>
      </c>
      <c r="V434" s="18" t="n">
        <v>46</v>
      </c>
      <c r="W434" s="20" t="n"/>
      <c r="X434" s="20" t="n"/>
      <c r="Y434" s="20" t="n"/>
      <c r="Z434" s="20" t="n"/>
      <c r="AA434" s="20" t="n"/>
      <c r="AB434" s="20" t="n"/>
      <c r="AC434" s="21">
        <f>IF(W434="","",W434-K434)</f>
        <v/>
      </c>
      <c r="AD434" s="21">
        <f>IF(X434="","",X434-L434)</f>
        <v/>
      </c>
      <c r="AE434" s="21">
        <f>IF(Y434="","",Y434-M434)</f>
        <v/>
      </c>
      <c r="AF434" s="21">
        <f>IF(Z434="","",Z434-N434)</f>
        <v/>
      </c>
      <c r="AG434" s="21">
        <f>IF(AA434="","",AA434-O434)</f>
        <v/>
      </c>
      <c r="AH434" s="21">
        <f>IF(AB434="","",AB434-P434)</f>
        <v/>
      </c>
      <c r="AI434" s="18">
        <f>IF(COUNTA(W434:AB434)=0,"未入力",IF(COUNTA(W434:AB434)&lt;6,"一部入力",IF(COUNTIF(AC434:AH434,0)=6,"一致","差分あり")))</f>
        <v/>
      </c>
      <c r="AJ4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4" s="19" t="inlineStr"/>
      <c r="AL434" s="18" t="inlineStr">
        <is>
          <t>2026-06-29</t>
        </is>
      </c>
    </row>
    <row r="435" ht="22" customHeight="1">
      <c r="A435" s="17" t="inlineStr">
        <is>
          <t>1005406-LB0</t>
        </is>
      </c>
      <c r="B435" s="18" t="n">
        <v>1005406</v>
      </c>
      <c r="C435" s="17" t="inlineStr">
        <is>
          <t>RMurohushi06</t>
        </is>
      </c>
      <c r="D435" s="17" t="inlineStr">
        <is>
          <t>RMurohushi</t>
        </is>
      </c>
      <c r="E435" s="17" t="inlineStr">
        <is>
          <t>室伏 理沙</t>
        </is>
      </c>
      <c r="F435" s="19" t="inlineStr">
        <is>
          <t>ハートフルデイズ</t>
        </is>
      </c>
      <c r="G435" s="18" t="inlineStr">
        <is>
          <t>S</t>
        </is>
      </c>
      <c r="H435" s="17" t="inlineStr">
        <is>
          <t>Healer</t>
        </is>
      </c>
      <c r="I435" s="18" t="n">
        <v>0</v>
      </c>
      <c r="J435" s="18" t="n">
        <v>10</v>
      </c>
      <c r="K435" s="18" t="n">
        <v>320</v>
      </c>
      <c r="L435" s="18" t="n">
        <v>314</v>
      </c>
      <c r="M435" s="18" t="n">
        <v>363</v>
      </c>
      <c r="N435" s="18" t="n">
        <v>353</v>
      </c>
      <c r="O435" s="18" t="n">
        <v>300</v>
      </c>
      <c r="P435" s="18" t="n">
        <v>306</v>
      </c>
      <c r="Q435" s="18" t="n">
        <v>32</v>
      </c>
      <c r="R435" s="18" t="n">
        <v>32</v>
      </c>
      <c r="S435" s="18" t="n">
        <v>37</v>
      </c>
      <c r="T435" s="18" t="n">
        <v>36</v>
      </c>
      <c r="U435" s="18" t="n">
        <v>30</v>
      </c>
      <c r="V435" s="18" t="n">
        <v>31</v>
      </c>
      <c r="W435" s="20" t="n"/>
      <c r="X435" s="20" t="n"/>
      <c r="Y435" s="20" t="n"/>
      <c r="Z435" s="20" t="n"/>
      <c r="AA435" s="20" t="n"/>
      <c r="AB435" s="20" t="n"/>
      <c r="AC435" s="21">
        <f>IF(W435="","",W435-K435)</f>
        <v/>
      </c>
      <c r="AD435" s="21">
        <f>IF(X435="","",X435-L435)</f>
        <v/>
      </c>
      <c r="AE435" s="21">
        <f>IF(Y435="","",Y435-M435)</f>
        <v/>
      </c>
      <c r="AF435" s="21">
        <f>IF(Z435="","",Z435-N435)</f>
        <v/>
      </c>
      <c r="AG435" s="21">
        <f>IF(AA435="","",AA435-O435)</f>
        <v/>
      </c>
      <c r="AH435" s="21">
        <f>IF(AB435="","",AB435-P435)</f>
        <v/>
      </c>
      <c r="AI435" s="18">
        <f>IF(COUNTA(W435:AB435)=0,"未入力",IF(COUNTA(W435:AB435)&lt;6,"一部入力",IF(COUNTIF(AC435:AH435,0)=6,"一致","差分あり")))</f>
        <v/>
      </c>
      <c r="AJ4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5" s="19" t="inlineStr"/>
      <c r="AL435" s="18" t="inlineStr">
        <is>
          <t>2026-06-29</t>
        </is>
      </c>
    </row>
    <row r="436" ht="22" customHeight="1">
      <c r="A436" s="17" t="inlineStr">
        <is>
          <t>1005406-LB10</t>
        </is>
      </c>
      <c r="B436" s="18" t="n">
        <v>1005406</v>
      </c>
      <c r="C436" s="17" t="inlineStr">
        <is>
          <t>RMurohushi06</t>
        </is>
      </c>
      <c r="D436" s="17" t="inlineStr">
        <is>
          <t>RMurohushi</t>
        </is>
      </c>
      <c r="E436" s="17" t="inlineStr">
        <is>
          <t>室伏 理沙</t>
        </is>
      </c>
      <c r="F436" s="19" t="inlineStr">
        <is>
          <t>ハートフルデイズ</t>
        </is>
      </c>
      <c r="G436" s="18" t="inlineStr">
        <is>
          <t>S</t>
        </is>
      </c>
      <c r="H436" s="17" t="inlineStr">
        <is>
          <t>Healer</t>
        </is>
      </c>
      <c r="I436" s="18" t="n">
        <v>10</v>
      </c>
      <c r="J436" s="18" t="n">
        <v>10</v>
      </c>
      <c r="K436" s="18" t="n">
        <v>386</v>
      </c>
      <c r="L436" s="18" t="n">
        <v>380</v>
      </c>
      <c r="M436" s="18" t="n">
        <v>432</v>
      </c>
      <c r="N436" s="18" t="n">
        <v>419</v>
      </c>
      <c r="O436" s="18" t="n">
        <v>364</v>
      </c>
      <c r="P436" s="18" t="n">
        <v>372</v>
      </c>
      <c r="Q436" s="18" t="n">
        <v>39</v>
      </c>
      <c r="R436" s="18" t="n">
        <v>38</v>
      </c>
      <c r="S436" s="18" t="n">
        <v>44</v>
      </c>
      <c r="T436" s="18" t="n">
        <v>42</v>
      </c>
      <c r="U436" s="18" t="n">
        <v>37</v>
      </c>
      <c r="V436" s="18" t="n">
        <v>38</v>
      </c>
      <c r="W436" s="20" t="n"/>
      <c r="X436" s="20" t="n"/>
      <c r="Y436" s="20" t="n"/>
      <c r="Z436" s="20" t="n"/>
      <c r="AA436" s="20" t="n"/>
      <c r="AB436" s="20" t="n"/>
      <c r="AC436" s="21">
        <f>IF(W436="","",W436-K436)</f>
        <v/>
      </c>
      <c r="AD436" s="21">
        <f>IF(X436="","",X436-L436)</f>
        <v/>
      </c>
      <c r="AE436" s="21">
        <f>IF(Y436="","",Y436-M436)</f>
        <v/>
      </c>
      <c r="AF436" s="21">
        <f>IF(Z436="","",Z436-N436)</f>
        <v/>
      </c>
      <c r="AG436" s="21">
        <f>IF(AA436="","",AA436-O436)</f>
        <v/>
      </c>
      <c r="AH436" s="21">
        <f>IF(AB436="","",AB436-P436)</f>
        <v/>
      </c>
      <c r="AI436" s="18">
        <f>IF(COUNTA(W436:AB436)=0,"未入力",IF(COUNTA(W436:AB436)&lt;6,"一部入力",IF(COUNTIF(AC436:AH436,0)=6,"一致","差分あり")))</f>
        <v/>
      </c>
      <c r="AJ4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6" s="19" t="inlineStr"/>
      <c r="AL436" s="18" t="inlineStr">
        <is>
          <t>2026-06-29</t>
        </is>
      </c>
    </row>
    <row r="437" ht="22" customHeight="1">
      <c r="A437" s="17" t="inlineStr">
        <is>
          <t>1005407-LB0</t>
        </is>
      </c>
      <c r="B437" s="18" t="n">
        <v>1005407</v>
      </c>
      <c r="C437" s="17" t="inlineStr">
        <is>
          <t>RMurohushi07</t>
        </is>
      </c>
      <c r="D437" s="17" t="inlineStr">
        <is>
          <t>RMurohushi</t>
        </is>
      </c>
      <c r="E437" s="17" t="inlineStr">
        <is>
          <t>室伏 理沙</t>
        </is>
      </c>
      <c r="F437" s="19" t="inlineStr">
        <is>
          <t>今宵、花明かりの下で</t>
        </is>
      </c>
      <c r="G437" s="18" t="inlineStr">
        <is>
          <t>SS</t>
        </is>
      </c>
      <c r="H437" s="17" t="inlineStr">
        <is>
          <t>Healer</t>
        </is>
      </c>
      <c r="I437" s="18" t="n">
        <v>0</v>
      </c>
      <c r="J437" s="18" t="n">
        <v>4</v>
      </c>
      <c r="K437" s="18" t="n">
        <v>402</v>
      </c>
      <c r="L437" s="18" t="n">
        <v>396</v>
      </c>
      <c r="M437" s="18" t="n">
        <v>450</v>
      </c>
      <c r="N437" s="18" t="n">
        <v>415</v>
      </c>
      <c r="O437" s="18" t="n">
        <v>378</v>
      </c>
      <c r="P437" s="18" t="n">
        <v>364</v>
      </c>
      <c r="Q437" s="18" t="n">
        <v>41</v>
      </c>
      <c r="R437" s="18" t="n">
        <v>40</v>
      </c>
      <c r="S437" s="18" t="n">
        <v>45</v>
      </c>
      <c r="T437" s="18" t="n">
        <v>42</v>
      </c>
      <c r="U437" s="18" t="n">
        <v>38</v>
      </c>
      <c r="V437" s="18" t="n">
        <v>37</v>
      </c>
      <c r="W437" s="20" t="n"/>
      <c r="X437" s="20" t="n"/>
      <c r="Y437" s="20" t="n"/>
      <c r="Z437" s="20" t="n"/>
      <c r="AA437" s="20" t="n"/>
      <c r="AB437" s="20" t="n"/>
      <c r="AC437" s="21">
        <f>IF(W437="","",W437-K437)</f>
        <v/>
      </c>
      <c r="AD437" s="21">
        <f>IF(X437="","",X437-L437)</f>
        <v/>
      </c>
      <c r="AE437" s="21">
        <f>IF(Y437="","",Y437-M437)</f>
        <v/>
      </c>
      <c r="AF437" s="21">
        <f>IF(Z437="","",Z437-N437)</f>
        <v/>
      </c>
      <c r="AG437" s="21">
        <f>IF(AA437="","",AA437-O437)</f>
        <v/>
      </c>
      <c r="AH437" s="21">
        <f>IF(AB437="","",AB437-P437)</f>
        <v/>
      </c>
      <c r="AI437" s="18">
        <f>IF(COUNTA(W437:AB437)=0,"未入力",IF(COUNTA(W437:AB437)&lt;6,"一部入力",IF(COUNTIF(AC437:AH437,0)=6,"一致","差分あり")))</f>
        <v/>
      </c>
      <c r="AJ4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7" s="19" t="inlineStr"/>
      <c r="AL437" s="18" t="inlineStr">
        <is>
          <t>2026-06-29</t>
        </is>
      </c>
    </row>
    <row r="438" ht="22" customHeight="1">
      <c r="A438" s="17" t="inlineStr">
        <is>
          <t>1005407-LB4</t>
        </is>
      </c>
      <c r="B438" s="18" t="n">
        <v>1005407</v>
      </c>
      <c r="C438" s="17" t="inlineStr">
        <is>
          <t>RMurohushi07</t>
        </is>
      </c>
      <c r="D438" s="17" t="inlineStr">
        <is>
          <t>RMurohushi</t>
        </is>
      </c>
      <c r="E438" s="17" t="inlineStr">
        <is>
          <t>室伏 理沙</t>
        </is>
      </c>
      <c r="F438" s="19" t="inlineStr">
        <is>
          <t>今宵、花明かりの下で</t>
        </is>
      </c>
      <c r="G438" s="18" t="inlineStr">
        <is>
          <t>SS</t>
        </is>
      </c>
      <c r="H438" s="17" t="inlineStr">
        <is>
          <t>Healer</t>
        </is>
      </c>
      <c r="I438" s="18" t="n">
        <v>4</v>
      </c>
      <c r="J438" s="18" t="n">
        <v>4</v>
      </c>
      <c r="K438" s="18" t="n">
        <v>491</v>
      </c>
      <c r="L438" s="18" t="n">
        <v>482</v>
      </c>
      <c r="M438" s="18" t="n">
        <v>541</v>
      </c>
      <c r="N438" s="18" t="n">
        <v>504</v>
      </c>
      <c r="O438" s="18" t="n">
        <v>463</v>
      </c>
      <c r="P438" s="18" t="n">
        <v>452</v>
      </c>
      <c r="Q438" s="18" t="n">
        <v>50</v>
      </c>
      <c r="R438" s="18" t="n">
        <v>49</v>
      </c>
      <c r="S438" s="18" t="n">
        <v>55</v>
      </c>
      <c r="T438" s="18" t="n">
        <v>51</v>
      </c>
      <c r="U438" s="18" t="n">
        <v>47</v>
      </c>
      <c r="V438" s="18" t="n">
        <v>46</v>
      </c>
      <c r="W438" s="20" t="n"/>
      <c r="X438" s="20" t="n"/>
      <c r="Y438" s="20" t="n"/>
      <c r="Z438" s="20" t="n"/>
      <c r="AA438" s="20" t="n"/>
      <c r="AB438" s="20" t="n"/>
      <c r="AC438" s="21">
        <f>IF(W438="","",W438-K438)</f>
        <v/>
      </c>
      <c r="AD438" s="21">
        <f>IF(X438="","",X438-L438)</f>
        <v/>
      </c>
      <c r="AE438" s="21">
        <f>IF(Y438="","",Y438-M438)</f>
        <v/>
      </c>
      <c r="AF438" s="21">
        <f>IF(Z438="","",Z438-N438)</f>
        <v/>
      </c>
      <c r="AG438" s="21">
        <f>IF(AA438="","",AA438-O438)</f>
        <v/>
      </c>
      <c r="AH438" s="21">
        <f>IF(AB438="","",AB438-P438)</f>
        <v/>
      </c>
      <c r="AI438" s="18">
        <f>IF(COUNTA(W438:AB438)=0,"未入力",IF(COUNTA(W438:AB438)&lt;6,"一部入力",IF(COUNTIF(AC438:AH438,0)=6,"一致","差分あり")))</f>
        <v/>
      </c>
      <c r="AJ4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8" s="19" t="inlineStr"/>
      <c r="AL438" s="18" t="inlineStr">
        <is>
          <t>2026-06-29</t>
        </is>
      </c>
    </row>
    <row r="439" ht="22" customHeight="1">
      <c r="A439" s="17" t="inlineStr">
        <is>
          <t>1005501-LB0</t>
        </is>
      </c>
      <c r="B439" s="18" t="n">
        <v>1005501</v>
      </c>
      <c r="C439" s="17" t="inlineStr">
        <is>
          <t>ADate01</t>
        </is>
      </c>
      <c r="D439" s="17" t="inlineStr">
        <is>
          <t>ADate</t>
        </is>
      </c>
      <c r="E439" s="17" t="inlineStr">
        <is>
          <t>伊達 朱里</t>
        </is>
      </c>
      <c r="F439" s="19" t="inlineStr">
        <is>
          <t>ネガティブエース</t>
        </is>
      </c>
      <c r="G439" s="18" t="inlineStr">
        <is>
          <t>A</t>
        </is>
      </c>
      <c r="H439" s="17" t="inlineStr">
        <is>
          <t>Breaker</t>
        </is>
      </c>
      <c r="I439" s="18" t="n">
        <v>0</v>
      </c>
      <c r="J439" s="18" t="n">
        <v>20</v>
      </c>
      <c r="K439" s="18" t="n">
        <v>278</v>
      </c>
      <c r="L439" s="18" t="n">
        <v>283</v>
      </c>
      <c r="M439" s="18" t="n">
        <v>291</v>
      </c>
      <c r="N439" s="18" t="n">
        <v>284</v>
      </c>
      <c r="O439" s="18" t="n">
        <v>251</v>
      </c>
      <c r="P439" s="18" t="n">
        <v>244</v>
      </c>
      <c r="Q439" s="18" t="n">
        <v>28</v>
      </c>
      <c r="R439" s="18" t="n">
        <v>29</v>
      </c>
      <c r="S439" s="18" t="n">
        <v>30</v>
      </c>
      <c r="T439" s="18" t="n">
        <v>29</v>
      </c>
      <c r="U439" s="18" t="n">
        <v>26</v>
      </c>
      <c r="V439" s="18" t="n">
        <v>25</v>
      </c>
      <c r="W439" s="20" t="n"/>
      <c r="X439" s="20" t="n"/>
      <c r="Y439" s="20" t="n"/>
      <c r="Z439" s="20" t="n"/>
      <c r="AA439" s="20" t="n"/>
      <c r="AB439" s="20" t="n"/>
      <c r="AC439" s="21">
        <f>IF(W439="","",W439-K439)</f>
        <v/>
      </c>
      <c r="AD439" s="21">
        <f>IF(X439="","",X439-L439)</f>
        <v/>
      </c>
      <c r="AE439" s="21">
        <f>IF(Y439="","",Y439-M439)</f>
        <v/>
      </c>
      <c r="AF439" s="21">
        <f>IF(Z439="","",Z439-N439)</f>
        <v/>
      </c>
      <c r="AG439" s="21">
        <f>IF(AA439="","",AA439-O439)</f>
        <v/>
      </c>
      <c r="AH439" s="21">
        <f>IF(AB439="","",AB439-P439)</f>
        <v/>
      </c>
      <c r="AI439" s="18">
        <f>IF(COUNTA(W439:AB439)=0,"未入力",IF(COUNTA(W439:AB439)&lt;6,"一部入力",IF(COUNTIF(AC439:AH439,0)=6,"一致","差分あり")))</f>
        <v/>
      </c>
      <c r="AJ4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39" s="19" t="inlineStr"/>
      <c r="AL439" s="18" t="inlineStr">
        <is>
          <t>2026-06-29</t>
        </is>
      </c>
    </row>
    <row r="440" ht="22" customHeight="1">
      <c r="A440" s="17" t="inlineStr">
        <is>
          <t>1005501-LB20</t>
        </is>
      </c>
      <c r="B440" s="18" t="n">
        <v>1005501</v>
      </c>
      <c r="C440" s="17" t="inlineStr">
        <is>
          <t>ADate01</t>
        </is>
      </c>
      <c r="D440" s="17" t="inlineStr">
        <is>
          <t>ADate</t>
        </is>
      </c>
      <c r="E440" s="17" t="inlineStr">
        <is>
          <t>伊達 朱里</t>
        </is>
      </c>
      <c r="F440" s="19" t="inlineStr">
        <is>
          <t>ネガティブエース</t>
        </is>
      </c>
      <c r="G440" s="18" t="inlineStr">
        <is>
          <t>A</t>
        </is>
      </c>
      <c r="H440" s="17" t="inlineStr">
        <is>
          <t>Breaker</t>
        </is>
      </c>
      <c r="I440" s="18" t="n">
        <v>20</v>
      </c>
      <c r="J440" s="18" t="n">
        <v>20</v>
      </c>
      <c r="K440" s="18" t="n">
        <v>322</v>
      </c>
      <c r="L440" s="18" t="n">
        <v>327</v>
      </c>
      <c r="M440" s="18" t="n">
        <v>337</v>
      </c>
      <c r="N440" s="18" t="n">
        <v>326</v>
      </c>
      <c r="O440" s="18" t="n">
        <v>295</v>
      </c>
      <c r="P440" s="18" t="n">
        <v>288</v>
      </c>
      <c r="Q440" s="18" t="n">
        <v>33</v>
      </c>
      <c r="R440" s="18" t="n">
        <v>33</v>
      </c>
      <c r="S440" s="18" t="n">
        <v>34</v>
      </c>
      <c r="T440" s="18" t="n">
        <v>33</v>
      </c>
      <c r="U440" s="18" t="n">
        <v>30</v>
      </c>
      <c r="V440" s="18" t="n">
        <v>29</v>
      </c>
      <c r="W440" s="20" t="n"/>
      <c r="X440" s="20" t="n"/>
      <c r="Y440" s="20" t="n"/>
      <c r="Z440" s="20" t="n"/>
      <c r="AA440" s="20" t="n"/>
      <c r="AB440" s="20" t="n"/>
      <c r="AC440" s="21">
        <f>IF(W440="","",W440-K440)</f>
        <v/>
      </c>
      <c r="AD440" s="21">
        <f>IF(X440="","",X440-L440)</f>
        <v/>
      </c>
      <c r="AE440" s="21">
        <f>IF(Y440="","",Y440-M440)</f>
        <v/>
      </c>
      <c r="AF440" s="21">
        <f>IF(Z440="","",Z440-N440)</f>
        <v/>
      </c>
      <c r="AG440" s="21">
        <f>IF(AA440="","",AA440-O440)</f>
        <v/>
      </c>
      <c r="AH440" s="21">
        <f>IF(AB440="","",AB440-P440)</f>
        <v/>
      </c>
      <c r="AI440" s="18">
        <f>IF(COUNTA(W440:AB440)=0,"未入力",IF(COUNTA(W440:AB440)&lt;6,"一部入力",IF(COUNTIF(AC440:AH440,0)=6,"一致","差分あり")))</f>
        <v/>
      </c>
      <c r="AJ4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0" s="19" t="inlineStr"/>
      <c r="AL440" s="18" t="inlineStr">
        <is>
          <t>2026-06-29</t>
        </is>
      </c>
    </row>
    <row r="441" ht="22" customHeight="1">
      <c r="A441" s="17" t="inlineStr">
        <is>
          <t>1005502-LB0</t>
        </is>
      </c>
      <c r="B441" s="18" t="n">
        <v>1005502</v>
      </c>
      <c r="C441" s="17" t="inlineStr">
        <is>
          <t>ADate02</t>
        </is>
      </c>
      <c r="D441" s="17" t="inlineStr">
        <is>
          <t>ADate</t>
        </is>
      </c>
      <c r="E441" s="17" t="inlineStr">
        <is>
          <t>伊達 朱里</t>
        </is>
      </c>
      <c r="F441" s="19" t="inlineStr">
        <is>
          <t>マーベルアプローチ</t>
        </is>
      </c>
      <c r="G441" s="18" t="inlineStr">
        <is>
          <t>S</t>
        </is>
      </c>
      <c r="H441" s="17" t="inlineStr">
        <is>
          <t>Breaker</t>
        </is>
      </c>
      <c r="I441" s="18" t="n">
        <v>0</v>
      </c>
      <c r="J441" s="18" t="n">
        <v>10</v>
      </c>
      <c r="K441" s="18" t="n">
        <v>348</v>
      </c>
      <c r="L441" s="18" t="n">
        <v>310</v>
      </c>
      <c r="M441" s="18" t="n">
        <v>309</v>
      </c>
      <c r="N441" s="18" t="n">
        <v>310</v>
      </c>
      <c r="O441" s="18" t="n">
        <v>323</v>
      </c>
      <c r="P441" s="18" t="n">
        <v>347</v>
      </c>
      <c r="Q441" s="18" t="n">
        <v>35</v>
      </c>
      <c r="R441" s="18" t="n">
        <v>31</v>
      </c>
      <c r="S441" s="18" t="n">
        <v>31</v>
      </c>
      <c r="T441" s="18" t="n">
        <v>31</v>
      </c>
      <c r="U441" s="18" t="n">
        <v>33</v>
      </c>
      <c r="V441" s="18" t="n">
        <v>35</v>
      </c>
      <c r="W441" s="20" t="n"/>
      <c r="X441" s="20" t="n"/>
      <c r="Y441" s="20" t="n"/>
      <c r="Z441" s="20" t="n"/>
      <c r="AA441" s="20" t="n"/>
      <c r="AB441" s="20" t="n"/>
      <c r="AC441" s="21">
        <f>IF(W441="","",W441-K441)</f>
        <v/>
      </c>
      <c r="AD441" s="21">
        <f>IF(X441="","",X441-L441)</f>
        <v/>
      </c>
      <c r="AE441" s="21">
        <f>IF(Y441="","",Y441-M441)</f>
        <v/>
      </c>
      <c r="AF441" s="21">
        <f>IF(Z441="","",Z441-N441)</f>
        <v/>
      </c>
      <c r="AG441" s="21">
        <f>IF(AA441="","",AA441-O441)</f>
        <v/>
      </c>
      <c r="AH441" s="21">
        <f>IF(AB441="","",AB441-P441)</f>
        <v/>
      </c>
      <c r="AI441" s="18">
        <f>IF(COUNTA(W441:AB441)=0,"未入力",IF(COUNTA(W441:AB441)&lt;6,"一部入力",IF(COUNTIF(AC441:AH441,0)=6,"一致","差分あり")))</f>
        <v/>
      </c>
      <c r="AJ4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1" s="19" t="inlineStr"/>
      <c r="AL441" s="18" t="inlineStr">
        <is>
          <t>2026-06-29</t>
        </is>
      </c>
    </row>
    <row r="442" ht="22" customHeight="1">
      <c r="A442" s="17" t="inlineStr">
        <is>
          <t>1005502-LB10</t>
        </is>
      </c>
      <c r="B442" s="18" t="n">
        <v>1005502</v>
      </c>
      <c r="C442" s="17" t="inlineStr">
        <is>
          <t>ADate02</t>
        </is>
      </c>
      <c r="D442" s="17" t="inlineStr">
        <is>
          <t>ADate</t>
        </is>
      </c>
      <c r="E442" s="17" t="inlineStr">
        <is>
          <t>伊達 朱里</t>
        </is>
      </c>
      <c r="F442" s="19" t="inlineStr">
        <is>
          <t>マーベルアプローチ</t>
        </is>
      </c>
      <c r="G442" s="18" t="inlineStr">
        <is>
          <t>S</t>
        </is>
      </c>
      <c r="H442" s="17" t="inlineStr">
        <is>
          <t>Breaker</t>
        </is>
      </c>
      <c r="I442" s="18" t="n">
        <v>10</v>
      </c>
      <c r="J442" s="18" t="n">
        <v>10</v>
      </c>
      <c r="K442" s="18" t="n">
        <v>414</v>
      </c>
      <c r="L442" s="18" t="n">
        <v>377</v>
      </c>
      <c r="M442" s="18" t="n">
        <v>375</v>
      </c>
      <c r="N442" s="18" t="n">
        <v>375</v>
      </c>
      <c r="O442" s="18" t="n">
        <v>389</v>
      </c>
      <c r="P442" s="18" t="n">
        <v>412</v>
      </c>
      <c r="Q442" s="18" t="n">
        <v>42</v>
      </c>
      <c r="R442" s="18" t="n">
        <v>38</v>
      </c>
      <c r="S442" s="18" t="n">
        <v>38</v>
      </c>
      <c r="T442" s="18" t="n">
        <v>38</v>
      </c>
      <c r="U442" s="18" t="n">
        <v>39</v>
      </c>
      <c r="V442" s="18" t="n">
        <v>42</v>
      </c>
      <c r="W442" s="20" t="n"/>
      <c r="X442" s="20" t="n"/>
      <c r="Y442" s="20" t="n"/>
      <c r="Z442" s="20" t="n"/>
      <c r="AA442" s="20" t="n"/>
      <c r="AB442" s="20" t="n"/>
      <c r="AC442" s="21">
        <f>IF(W442="","",W442-K442)</f>
        <v/>
      </c>
      <c r="AD442" s="21">
        <f>IF(X442="","",X442-L442)</f>
        <v/>
      </c>
      <c r="AE442" s="21">
        <f>IF(Y442="","",Y442-M442)</f>
        <v/>
      </c>
      <c r="AF442" s="21">
        <f>IF(Z442="","",Z442-N442)</f>
        <v/>
      </c>
      <c r="AG442" s="21">
        <f>IF(AA442="","",AA442-O442)</f>
        <v/>
      </c>
      <c r="AH442" s="21">
        <f>IF(AB442="","",AB442-P442)</f>
        <v/>
      </c>
      <c r="AI442" s="18">
        <f>IF(COUNTA(W442:AB442)=0,"未入力",IF(COUNTA(W442:AB442)&lt;6,"一部入力",IF(COUNTIF(AC442:AH442,0)=6,"一致","差分あり")))</f>
        <v/>
      </c>
      <c r="AJ4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2" s="19" t="inlineStr"/>
      <c r="AL442" s="18" t="inlineStr">
        <is>
          <t>2026-06-29</t>
        </is>
      </c>
    </row>
    <row r="443" ht="22" customHeight="1">
      <c r="A443" s="17" t="inlineStr">
        <is>
          <t>1005503-LB0</t>
        </is>
      </c>
      <c r="B443" s="18" t="n">
        <v>1005503</v>
      </c>
      <c r="C443" s="17" t="inlineStr">
        <is>
          <t>ADate03</t>
        </is>
      </c>
      <c r="D443" s="17" t="inlineStr">
        <is>
          <t>ADate</t>
        </is>
      </c>
      <c r="E443" s="17" t="inlineStr">
        <is>
          <t>伊達 朱里</t>
        </is>
      </c>
      <c r="F443" s="19" t="inlineStr">
        <is>
          <t>テニスコートの悪魔</t>
        </is>
      </c>
      <c r="G443" s="18" t="inlineStr">
        <is>
          <t>SS</t>
        </is>
      </c>
      <c r="H443" s="17" t="inlineStr">
        <is>
          <t>Breaker</t>
        </is>
      </c>
      <c r="I443" s="18" t="n">
        <v>0</v>
      </c>
      <c r="J443" s="18" t="n">
        <v>4</v>
      </c>
      <c r="K443" s="18" t="n">
        <v>341</v>
      </c>
      <c r="L443" s="18" t="n">
        <v>417</v>
      </c>
      <c r="M443" s="18" t="n">
        <v>380</v>
      </c>
      <c r="N443" s="18" t="n">
        <v>356</v>
      </c>
      <c r="O443" s="18" t="n">
        <v>396</v>
      </c>
      <c r="P443" s="18" t="n">
        <v>374</v>
      </c>
      <c r="Q443" s="18" t="n">
        <v>35</v>
      </c>
      <c r="R443" s="18" t="n">
        <v>42</v>
      </c>
      <c r="S443" s="18" t="n">
        <v>38</v>
      </c>
      <c r="T443" s="18" t="n">
        <v>36</v>
      </c>
      <c r="U443" s="18" t="n">
        <v>40</v>
      </c>
      <c r="V443" s="18" t="n">
        <v>38</v>
      </c>
      <c r="W443" s="20" t="n"/>
      <c r="X443" s="20" t="n"/>
      <c r="Y443" s="20" t="n"/>
      <c r="Z443" s="20" t="n"/>
      <c r="AA443" s="20" t="n"/>
      <c r="AB443" s="20" t="n"/>
      <c r="AC443" s="21">
        <f>IF(W443="","",W443-K443)</f>
        <v/>
      </c>
      <c r="AD443" s="21">
        <f>IF(X443="","",X443-L443)</f>
        <v/>
      </c>
      <c r="AE443" s="21">
        <f>IF(Y443="","",Y443-M443)</f>
        <v/>
      </c>
      <c r="AF443" s="21">
        <f>IF(Z443="","",Z443-N443)</f>
        <v/>
      </c>
      <c r="AG443" s="21">
        <f>IF(AA443="","",AA443-O443)</f>
        <v/>
      </c>
      <c r="AH443" s="21">
        <f>IF(AB443="","",AB443-P443)</f>
        <v/>
      </c>
      <c r="AI443" s="18">
        <f>IF(COUNTA(W443:AB443)=0,"未入力",IF(COUNTA(W443:AB443)&lt;6,"一部入力",IF(COUNTIF(AC443:AH443,0)=6,"一致","差分あり")))</f>
        <v/>
      </c>
      <c r="AJ4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3" s="19" t="inlineStr"/>
      <c r="AL443" s="18" t="inlineStr">
        <is>
          <t>2026-06-29</t>
        </is>
      </c>
    </row>
    <row r="444" ht="22" customHeight="1">
      <c r="A444" s="17" t="inlineStr">
        <is>
          <t>1005503-LB4</t>
        </is>
      </c>
      <c r="B444" s="18" t="n">
        <v>1005503</v>
      </c>
      <c r="C444" s="17" t="inlineStr">
        <is>
          <t>ADate03</t>
        </is>
      </c>
      <c r="D444" s="17" t="inlineStr">
        <is>
          <t>ADate</t>
        </is>
      </c>
      <c r="E444" s="17" t="inlineStr">
        <is>
          <t>伊達 朱里</t>
        </is>
      </c>
      <c r="F444" s="19" t="inlineStr">
        <is>
          <t>テニスコートの悪魔</t>
        </is>
      </c>
      <c r="G444" s="18" t="inlineStr">
        <is>
          <t>SS</t>
        </is>
      </c>
      <c r="H444" s="17" t="inlineStr">
        <is>
          <t>Breaker</t>
        </is>
      </c>
      <c r="I444" s="18" t="n">
        <v>4</v>
      </c>
      <c r="J444" s="18" t="n">
        <v>4</v>
      </c>
      <c r="K444" s="18" t="n">
        <v>428</v>
      </c>
      <c r="L444" s="18" t="n">
        <v>506</v>
      </c>
      <c r="M444" s="18" t="n">
        <v>468</v>
      </c>
      <c r="N444" s="18" t="n">
        <v>442</v>
      </c>
      <c r="O444" s="18" t="n">
        <v>485</v>
      </c>
      <c r="P444" s="18" t="n">
        <v>461</v>
      </c>
      <c r="Q444" s="18" t="n">
        <v>43</v>
      </c>
      <c r="R444" s="18" t="n">
        <v>51</v>
      </c>
      <c r="S444" s="18" t="n">
        <v>47</v>
      </c>
      <c r="T444" s="18" t="n">
        <v>45</v>
      </c>
      <c r="U444" s="18" t="n">
        <v>49</v>
      </c>
      <c r="V444" s="18" t="n">
        <v>47</v>
      </c>
      <c r="W444" s="20" t="n"/>
      <c r="X444" s="20" t="n"/>
      <c r="Y444" s="20" t="n"/>
      <c r="Z444" s="20" t="n"/>
      <c r="AA444" s="20" t="n"/>
      <c r="AB444" s="20" t="n"/>
      <c r="AC444" s="21">
        <f>IF(W444="","",W444-K444)</f>
        <v/>
      </c>
      <c r="AD444" s="21">
        <f>IF(X444="","",X444-L444)</f>
        <v/>
      </c>
      <c r="AE444" s="21">
        <f>IF(Y444="","",Y444-M444)</f>
        <v/>
      </c>
      <c r="AF444" s="21">
        <f>IF(Z444="","",Z444-N444)</f>
        <v/>
      </c>
      <c r="AG444" s="21">
        <f>IF(AA444="","",AA444-O444)</f>
        <v/>
      </c>
      <c r="AH444" s="21">
        <f>IF(AB444="","",AB444-P444)</f>
        <v/>
      </c>
      <c r="AI444" s="18">
        <f>IF(COUNTA(W444:AB444)=0,"未入力",IF(COUNTA(W444:AB444)&lt;6,"一部入力",IF(COUNTIF(AC444:AH444,0)=6,"一致","差分あり")))</f>
        <v/>
      </c>
      <c r="AJ4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4" s="19" t="inlineStr"/>
      <c r="AL444" s="18" t="inlineStr">
        <is>
          <t>2026-06-29</t>
        </is>
      </c>
    </row>
    <row r="445" ht="22" customHeight="1">
      <c r="A445" s="17" t="inlineStr">
        <is>
          <t>1005504-LB0</t>
        </is>
      </c>
      <c r="B445" s="18" t="n">
        <v>1005504</v>
      </c>
      <c r="C445" s="17" t="inlineStr">
        <is>
          <t>ADate04</t>
        </is>
      </c>
      <c r="D445" s="17" t="inlineStr">
        <is>
          <t>ADate</t>
        </is>
      </c>
      <c r="E445" s="17" t="inlineStr">
        <is>
          <t>伊達 朱里</t>
        </is>
      </c>
      <c r="F445" s="19" t="inlineStr">
        <is>
          <t>Holiday Star Night</t>
        </is>
      </c>
      <c r="G445" s="18" t="inlineStr">
        <is>
          <t>SS</t>
        </is>
      </c>
      <c r="H445" s="17" t="inlineStr">
        <is>
          <t>Breaker</t>
        </is>
      </c>
      <c r="I445" s="18" t="n">
        <v>0</v>
      </c>
      <c r="J445" s="18" t="n">
        <v>4</v>
      </c>
      <c r="K445" s="18" t="n">
        <v>362</v>
      </c>
      <c r="L445" s="18" t="n">
        <v>439</v>
      </c>
      <c r="M445" s="18" t="n">
        <v>402</v>
      </c>
      <c r="N445" s="18" t="n">
        <v>378</v>
      </c>
      <c r="O445" s="18" t="n">
        <v>419</v>
      </c>
      <c r="P445" s="18" t="n">
        <v>396</v>
      </c>
      <c r="Q445" s="18" t="n">
        <v>37</v>
      </c>
      <c r="R445" s="18" t="n">
        <v>44</v>
      </c>
      <c r="S445" s="18" t="n">
        <v>41</v>
      </c>
      <c r="T445" s="18" t="n">
        <v>38</v>
      </c>
      <c r="U445" s="18" t="n">
        <v>42</v>
      </c>
      <c r="V445" s="18" t="n">
        <v>40</v>
      </c>
      <c r="W445" s="20" t="n"/>
      <c r="X445" s="20" t="n"/>
      <c r="Y445" s="20" t="n"/>
      <c r="Z445" s="20" t="n"/>
      <c r="AA445" s="20" t="n"/>
      <c r="AB445" s="20" t="n"/>
      <c r="AC445" s="21">
        <f>IF(W445="","",W445-K445)</f>
        <v/>
      </c>
      <c r="AD445" s="21">
        <f>IF(X445="","",X445-L445)</f>
        <v/>
      </c>
      <c r="AE445" s="21">
        <f>IF(Y445="","",Y445-M445)</f>
        <v/>
      </c>
      <c r="AF445" s="21">
        <f>IF(Z445="","",Z445-N445)</f>
        <v/>
      </c>
      <c r="AG445" s="21">
        <f>IF(AA445="","",AA445-O445)</f>
        <v/>
      </c>
      <c r="AH445" s="21">
        <f>IF(AB445="","",AB445-P445)</f>
        <v/>
      </c>
      <c r="AI445" s="18">
        <f>IF(COUNTA(W445:AB445)=0,"未入力",IF(COUNTA(W445:AB445)&lt;6,"一部入力",IF(COUNTIF(AC445:AH445,0)=6,"一致","差分あり")))</f>
        <v/>
      </c>
      <c r="AJ4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5" s="19" t="inlineStr"/>
      <c r="AL445" s="18" t="inlineStr">
        <is>
          <t>2026-06-29</t>
        </is>
      </c>
    </row>
    <row r="446" ht="22" customHeight="1">
      <c r="A446" s="17" t="inlineStr">
        <is>
          <t>1005504-LB4</t>
        </is>
      </c>
      <c r="B446" s="18" t="n">
        <v>1005504</v>
      </c>
      <c r="C446" s="17" t="inlineStr">
        <is>
          <t>ADate04</t>
        </is>
      </c>
      <c r="D446" s="17" t="inlineStr">
        <is>
          <t>ADate</t>
        </is>
      </c>
      <c r="E446" s="17" t="inlineStr">
        <is>
          <t>伊達 朱里</t>
        </is>
      </c>
      <c r="F446" s="19" t="inlineStr">
        <is>
          <t>Holiday Star Night</t>
        </is>
      </c>
      <c r="G446" s="18" t="inlineStr">
        <is>
          <t>SS</t>
        </is>
      </c>
      <c r="H446" s="17" t="inlineStr">
        <is>
          <t>Breaker</t>
        </is>
      </c>
      <c r="I446" s="18" t="n">
        <v>4</v>
      </c>
      <c r="J446" s="18" t="n">
        <v>4</v>
      </c>
      <c r="K446" s="18" t="n">
        <v>450</v>
      </c>
      <c r="L446" s="18" t="n">
        <v>528</v>
      </c>
      <c r="M446" s="18" t="n">
        <v>491</v>
      </c>
      <c r="N446" s="18" t="n">
        <v>463</v>
      </c>
      <c r="O446" s="18" t="n">
        <v>508</v>
      </c>
      <c r="P446" s="18" t="n">
        <v>482</v>
      </c>
      <c r="Q446" s="18" t="n">
        <v>45</v>
      </c>
      <c r="R446" s="18" t="n">
        <v>53</v>
      </c>
      <c r="S446" s="18" t="n">
        <v>50</v>
      </c>
      <c r="T446" s="18" t="n">
        <v>47</v>
      </c>
      <c r="U446" s="18" t="n">
        <v>51</v>
      </c>
      <c r="V446" s="18" t="n">
        <v>49</v>
      </c>
      <c r="W446" s="20" t="n"/>
      <c r="X446" s="20" t="n"/>
      <c r="Y446" s="20" t="n"/>
      <c r="Z446" s="20" t="n"/>
      <c r="AA446" s="20" t="n"/>
      <c r="AB446" s="20" t="n"/>
      <c r="AC446" s="21">
        <f>IF(W446="","",W446-K446)</f>
        <v/>
      </c>
      <c r="AD446" s="21">
        <f>IF(X446="","",X446-L446)</f>
        <v/>
      </c>
      <c r="AE446" s="21">
        <f>IF(Y446="","",Y446-M446)</f>
        <v/>
      </c>
      <c r="AF446" s="21">
        <f>IF(Z446="","",Z446-N446)</f>
        <v/>
      </c>
      <c r="AG446" s="21">
        <f>IF(AA446="","",AA446-O446)</f>
        <v/>
      </c>
      <c r="AH446" s="21">
        <f>IF(AB446="","",AB446-P446)</f>
        <v/>
      </c>
      <c r="AI446" s="18">
        <f>IF(COUNTA(W446:AB446)=0,"未入力",IF(COUNTA(W446:AB446)&lt;6,"一部入力",IF(COUNTIF(AC446:AH446,0)=6,"一致","差分あり")))</f>
        <v/>
      </c>
      <c r="AJ4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6" s="19" t="inlineStr"/>
      <c r="AL446" s="18" t="inlineStr">
        <is>
          <t>2026-06-29</t>
        </is>
      </c>
    </row>
    <row r="447" ht="22" customHeight="1">
      <c r="A447" s="17" t="inlineStr">
        <is>
          <t>1005505-LB0</t>
        </is>
      </c>
      <c r="B447" s="18" t="n">
        <v>1005505</v>
      </c>
      <c r="C447" s="17" t="inlineStr">
        <is>
          <t>ADate05</t>
        </is>
      </c>
      <c r="D447" s="17" t="inlineStr">
        <is>
          <t>ADate</t>
        </is>
      </c>
      <c r="E447" s="17" t="inlineStr">
        <is>
          <t>伊達 朱里</t>
        </is>
      </c>
      <c r="F447" s="19" t="inlineStr">
        <is>
          <t>幸運ふゆうらら</t>
        </is>
      </c>
      <c r="G447" s="18" t="inlineStr">
        <is>
          <t>SS</t>
        </is>
      </c>
      <c r="H447" s="17" t="inlineStr">
        <is>
          <t>Breaker</t>
        </is>
      </c>
      <c r="I447" s="18" t="n">
        <v>0</v>
      </c>
      <c r="J447" s="18" t="n">
        <v>4</v>
      </c>
      <c r="K447" s="18" t="n">
        <v>362</v>
      </c>
      <c r="L447" s="18" t="n">
        <v>439</v>
      </c>
      <c r="M447" s="18" t="n">
        <v>402</v>
      </c>
      <c r="N447" s="18" t="n">
        <v>378</v>
      </c>
      <c r="O447" s="18" t="n">
        <v>419</v>
      </c>
      <c r="P447" s="18" t="n">
        <v>396</v>
      </c>
      <c r="Q447" s="18" t="n">
        <v>37</v>
      </c>
      <c r="R447" s="18" t="n">
        <v>44</v>
      </c>
      <c r="S447" s="18" t="n">
        <v>41</v>
      </c>
      <c r="T447" s="18" t="n">
        <v>38</v>
      </c>
      <c r="U447" s="18" t="n">
        <v>42</v>
      </c>
      <c r="V447" s="18" t="n">
        <v>40</v>
      </c>
      <c r="W447" s="20" t="n"/>
      <c r="X447" s="20" t="n"/>
      <c r="Y447" s="20" t="n"/>
      <c r="Z447" s="20" t="n"/>
      <c r="AA447" s="20" t="n"/>
      <c r="AB447" s="20" t="n"/>
      <c r="AC447" s="21">
        <f>IF(W447="","",W447-K447)</f>
        <v/>
      </c>
      <c r="AD447" s="21">
        <f>IF(X447="","",X447-L447)</f>
        <v/>
      </c>
      <c r="AE447" s="21">
        <f>IF(Y447="","",Y447-M447)</f>
        <v/>
      </c>
      <c r="AF447" s="21">
        <f>IF(Z447="","",Z447-N447)</f>
        <v/>
      </c>
      <c r="AG447" s="21">
        <f>IF(AA447="","",AA447-O447)</f>
        <v/>
      </c>
      <c r="AH447" s="21">
        <f>IF(AB447="","",AB447-P447)</f>
        <v/>
      </c>
      <c r="AI447" s="18">
        <f>IF(COUNTA(W447:AB447)=0,"未入力",IF(COUNTA(W447:AB447)&lt;6,"一部入力",IF(COUNTIF(AC447:AH447,0)=6,"一致","差分あり")))</f>
        <v/>
      </c>
      <c r="AJ4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7" s="19" t="inlineStr"/>
      <c r="AL447" s="18" t="inlineStr">
        <is>
          <t>2026-06-29</t>
        </is>
      </c>
    </row>
    <row r="448" ht="22" customHeight="1">
      <c r="A448" s="17" t="inlineStr">
        <is>
          <t>1005505-LB4</t>
        </is>
      </c>
      <c r="B448" s="18" t="n">
        <v>1005505</v>
      </c>
      <c r="C448" s="17" t="inlineStr">
        <is>
          <t>ADate05</t>
        </is>
      </c>
      <c r="D448" s="17" t="inlineStr">
        <is>
          <t>ADate</t>
        </is>
      </c>
      <c r="E448" s="17" t="inlineStr">
        <is>
          <t>伊達 朱里</t>
        </is>
      </c>
      <c r="F448" s="19" t="inlineStr">
        <is>
          <t>幸運ふゆうらら</t>
        </is>
      </c>
      <c r="G448" s="18" t="inlineStr">
        <is>
          <t>SS</t>
        </is>
      </c>
      <c r="H448" s="17" t="inlineStr">
        <is>
          <t>Breaker</t>
        </is>
      </c>
      <c r="I448" s="18" t="n">
        <v>4</v>
      </c>
      <c r="J448" s="18" t="n">
        <v>4</v>
      </c>
      <c r="K448" s="18" t="n">
        <v>450</v>
      </c>
      <c r="L448" s="18" t="n">
        <v>528</v>
      </c>
      <c r="M448" s="18" t="n">
        <v>491</v>
      </c>
      <c r="N448" s="18" t="n">
        <v>463</v>
      </c>
      <c r="O448" s="18" t="n">
        <v>508</v>
      </c>
      <c r="P448" s="18" t="n">
        <v>482</v>
      </c>
      <c r="Q448" s="18" t="n">
        <v>45</v>
      </c>
      <c r="R448" s="18" t="n">
        <v>53</v>
      </c>
      <c r="S448" s="18" t="n">
        <v>50</v>
      </c>
      <c r="T448" s="18" t="n">
        <v>47</v>
      </c>
      <c r="U448" s="18" t="n">
        <v>51</v>
      </c>
      <c r="V448" s="18" t="n">
        <v>49</v>
      </c>
      <c r="W448" s="20" t="n"/>
      <c r="X448" s="20" t="n"/>
      <c r="Y448" s="20" t="n"/>
      <c r="Z448" s="20" t="n"/>
      <c r="AA448" s="20" t="n"/>
      <c r="AB448" s="20" t="n"/>
      <c r="AC448" s="21">
        <f>IF(W448="","",W448-K448)</f>
        <v/>
      </c>
      <c r="AD448" s="21">
        <f>IF(X448="","",X448-L448)</f>
        <v/>
      </c>
      <c r="AE448" s="21">
        <f>IF(Y448="","",Y448-M448)</f>
        <v/>
      </c>
      <c r="AF448" s="21">
        <f>IF(Z448="","",Z448-N448)</f>
        <v/>
      </c>
      <c r="AG448" s="21">
        <f>IF(AA448="","",AA448-O448)</f>
        <v/>
      </c>
      <c r="AH448" s="21">
        <f>IF(AB448="","",AB448-P448)</f>
        <v/>
      </c>
      <c r="AI448" s="18">
        <f>IF(COUNTA(W448:AB448)=0,"未入力",IF(COUNTA(W448:AB448)&lt;6,"一部入力",IF(COUNTIF(AC448:AH448,0)=6,"一致","差分あり")))</f>
        <v/>
      </c>
      <c r="AJ4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8" s="19" t="inlineStr"/>
      <c r="AL448" s="18" t="inlineStr">
        <is>
          <t>2026-06-29</t>
        </is>
      </c>
    </row>
    <row r="449" ht="22" customHeight="1">
      <c r="A449" s="17" t="inlineStr">
        <is>
          <t>1005506-LB0</t>
        </is>
      </c>
      <c r="B449" s="18" t="n">
        <v>1005506</v>
      </c>
      <c r="C449" s="17" t="inlineStr">
        <is>
          <t>ADate06</t>
        </is>
      </c>
      <c r="D449" s="17" t="inlineStr">
        <is>
          <t>ADate</t>
        </is>
      </c>
      <c r="E449" s="17" t="inlineStr">
        <is>
          <t>伊達 朱里</t>
        </is>
      </c>
      <c r="F449" s="19" t="inlineStr">
        <is>
          <t>前進ネバーギブアップ！</t>
        </is>
      </c>
      <c r="G449" s="18" t="inlineStr">
        <is>
          <t>SSR</t>
        </is>
      </c>
      <c r="H449" s="17" t="inlineStr">
        <is>
          <t>Debuffer</t>
        </is>
      </c>
      <c r="I449" s="18" t="n">
        <v>0</v>
      </c>
      <c r="J449" s="18" t="n">
        <v>4</v>
      </c>
      <c r="K449" s="18" t="n">
        <v>397</v>
      </c>
      <c r="L449" s="18" t="n">
        <v>404</v>
      </c>
      <c r="M449" s="18" t="n">
        <v>437</v>
      </c>
      <c r="N449" s="18" t="n">
        <v>403</v>
      </c>
      <c r="O449" s="18" t="n">
        <v>392</v>
      </c>
      <c r="P449" s="18" t="n">
        <v>361</v>
      </c>
      <c r="Q449" s="18" t="n">
        <v>40</v>
      </c>
      <c r="R449" s="18" t="n">
        <v>41</v>
      </c>
      <c r="S449" s="18" t="n">
        <v>44</v>
      </c>
      <c r="T449" s="18" t="n">
        <v>41</v>
      </c>
      <c r="U449" s="18" t="n">
        <v>40</v>
      </c>
      <c r="V449" s="18" t="n">
        <v>37</v>
      </c>
      <c r="W449" s="20" t="n"/>
      <c r="X449" s="20" t="n"/>
      <c r="Y449" s="20" t="n"/>
      <c r="Z449" s="20" t="n"/>
      <c r="AA449" s="20" t="n"/>
      <c r="AB449" s="20" t="n"/>
      <c r="AC449" s="21">
        <f>IF(W449="","",W449-K449)</f>
        <v/>
      </c>
      <c r="AD449" s="21">
        <f>IF(X449="","",X449-L449)</f>
        <v/>
      </c>
      <c r="AE449" s="21">
        <f>IF(Y449="","",Y449-M449)</f>
        <v/>
      </c>
      <c r="AF449" s="21">
        <f>IF(Z449="","",Z449-N449)</f>
        <v/>
      </c>
      <c r="AG449" s="21">
        <f>IF(AA449="","",AA449-O449)</f>
        <v/>
      </c>
      <c r="AH449" s="21">
        <f>IF(AB449="","",AB449-P449)</f>
        <v/>
      </c>
      <c r="AI449" s="18">
        <f>IF(COUNTA(W449:AB449)=0,"未入力",IF(COUNTA(W449:AB449)&lt;6,"一部入力",IF(COUNTIF(AC449:AH449,0)=6,"一致","差分あり")))</f>
        <v/>
      </c>
      <c r="AJ4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49" s="19" t="inlineStr"/>
      <c r="AL449" s="18" t="inlineStr">
        <is>
          <t>2026-06-29</t>
        </is>
      </c>
    </row>
    <row r="450" ht="22" customHeight="1">
      <c r="A450" s="17" t="inlineStr">
        <is>
          <t>1005506-LB4</t>
        </is>
      </c>
      <c r="B450" s="18" t="n">
        <v>1005506</v>
      </c>
      <c r="C450" s="17" t="inlineStr">
        <is>
          <t>ADate06</t>
        </is>
      </c>
      <c r="D450" s="17" t="inlineStr">
        <is>
          <t>ADate</t>
        </is>
      </c>
      <c r="E450" s="17" t="inlineStr">
        <is>
          <t>伊達 朱里</t>
        </is>
      </c>
      <c r="F450" s="19" t="inlineStr">
        <is>
          <t>前進ネバーギブアップ！</t>
        </is>
      </c>
      <c r="G450" s="18" t="inlineStr">
        <is>
          <t>SSR</t>
        </is>
      </c>
      <c r="H450" s="17" t="inlineStr">
        <is>
          <t>Debuffer</t>
        </is>
      </c>
      <c r="I450" s="18" t="n">
        <v>4</v>
      </c>
      <c r="J450" s="18" t="n">
        <v>4</v>
      </c>
      <c r="K450" s="18" t="n">
        <v>484</v>
      </c>
      <c r="L450" s="18" t="n">
        <v>493</v>
      </c>
      <c r="M450" s="18" t="n">
        <v>526</v>
      </c>
      <c r="N450" s="18" t="n">
        <v>489</v>
      </c>
      <c r="O450" s="18" t="n">
        <v>481</v>
      </c>
      <c r="P450" s="18" t="n">
        <v>448</v>
      </c>
      <c r="Q450" s="18" t="n">
        <v>49</v>
      </c>
      <c r="R450" s="18" t="n">
        <v>50</v>
      </c>
      <c r="S450" s="18" t="n">
        <v>53</v>
      </c>
      <c r="T450" s="18" t="n">
        <v>49</v>
      </c>
      <c r="U450" s="18" t="n">
        <v>49</v>
      </c>
      <c r="V450" s="18" t="n">
        <v>45</v>
      </c>
      <c r="W450" s="20" t="n"/>
      <c r="X450" s="20" t="n"/>
      <c r="Y450" s="20" t="n"/>
      <c r="Z450" s="20" t="n"/>
      <c r="AA450" s="20" t="n"/>
      <c r="AB450" s="20" t="n"/>
      <c r="AC450" s="21">
        <f>IF(W450="","",W450-K450)</f>
        <v/>
      </c>
      <c r="AD450" s="21">
        <f>IF(X450="","",X450-L450)</f>
        <v/>
      </c>
      <c r="AE450" s="21">
        <f>IF(Y450="","",Y450-M450)</f>
        <v/>
      </c>
      <c r="AF450" s="21">
        <f>IF(Z450="","",Z450-N450)</f>
        <v/>
      </c>
      <c r="AG450" s="21">
        <f>IF(AA450="","",AA450-O450)</f>
        <v/>
      </c>
      <c r="AH450" s="21">
        <f>IF(AB450="","",AB450-P450)</f>
        <v/>
      </c>
      <c r="AI450" s="18">
        <f>IF(COUNTA(W450:AB450)=0,"未入力",IF(COUNTA(W450:AB450)&lt;6,"一部入力",IF(COUNTIF(AC450:AH450,0)=6,"一致","差分あり")))</f>
        <v/>
      </c>
      <c r="AJ4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0" s="19" t="inlineStr"/>
      <c r="AL450" s="18" t="inlineStr">
        <is>
          <t>2026-06-29</t>
        </is>
      </c>
    </row>
    <row r="451" ht="22" customHeight="1">
      <c r="A451" s="17" t="inlineStr">
        <is>
          <t>1005601-LB0</t>
        </is>
      </c>
      <c r="B451" s="18" t="n">
        <v>1005601</v>
      </c>
      <c r="C451" s="17" t="inlineStr">
        <is>
          <t>AMizuhara01</t>
        </is>
      </c>
      <c r="D451" s="17" t="inlineStr">
        <is>
          <t>AMizuhara</t>
        </is>
      </c>
      <c r="E451" s="17" t="inlineStr">
        <is>
          <t>瑞原 あいな</t>
        </is>
      </c>
      <c r="F451" s="19" t="inlineStr">
        <is>
          <t>深き海の学び手</t>
        </is>
      </c>
      <c r="G451" s="18" t="inlineStr">
        <is>
          <t>A</t>
        </is>
      </c>
      <c r="H451" s="17" t="inlineStr">
        <is>
          <t>Debuffer</t>
        </is>
      </c>
      <c r="I451" s="18" t="n">
        <v>0</v>
      </c>
      <c r="J451" s="18" t="n">
        <v>20</v>
      </c>
      <c r="K451" s="18" t="n">
        <v>286</v>
      </c>
      <c r="L451" s="18" t="n">
        <v>246</v>
      </c>
      <c r="M451" s="18" t="n">
        <v>258</v>
      </c>
      <c r="N451" s="18" t="n">
        <v>287</v>
      </c>
      <c r="O451" s="18" t="n">
        <v>274</v>
      </c>
      <c r="P451" s="18" t="n">
        <v>284</v>
      </c>
      <c r="Q451" s="18" t="n">
        <v>29</v>
      </c>
      <c r="R451" s="18" t="n">
        <v>25</v>
      </c>
      <c r="S451" s="18" t="n">
        <v>26</v>
      </c>
      <c r="T451" s="18" t="n">
        <v>29</v>
      </c>
      <c r="U451" s="18" t="n">
        <v>28</v>
      </c>
      <c r="V451" s="18" t="n">
        <v>29</v>
      </c>
      <c r="W451" s="20" t="n"/>
      <c r="X451" s="20" t="n"/>
      <c r="Y451" s="20" t="n"/>
      <c r="Z451" s="20" t="n"/>
      <c r="AA451" s="20" t="n"/>
      <c r="AB451" s="20" t="n"/>
      <c r="AC451" s="21">
        <f>IF(W451="","",W451-K451)</f>
        <v/>
      </c>
      <c r="AD451" s="21">
        <f>IF(X451="","",X451-L451)</f>
        <v/>
      </c>
      <c r="AE451" s="21">
        <f>IF(Y451="","",Y451-M451)</f>
        <v/>
      </c>
      <c r="AF451" s="21">
        <f>IF(Z451="","",Z451-N451)</f>
        <v/>
      </c>
      <c r="AG451" s="21">
        <f>IF(AA451="","",AA451-O451)</f>
        <v/>
      </c>
      <c r="AH451" s="21">
        <f>IF(AB451="","",AB451-P451)</f>
        <v/>
      </c>
      <c r="AI451" s="18">
        <f>IF(COUNTA(W451:AB451)=0,"未入力",IF(COUNTA(W451:AB451)&lt;6,"一部入力",IF(COUNTIF(AC451:AH451,0)=6,"一致","差分あり")))</f>
        <v/>
      </c>
      <c r="AJ4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1" s="19" t="inlineStr"/>
      <c r="AL451" s="18" t="inlineStr">
        <is>
          <t>2026-06-29</t>
        </is>
      </c>
    </row>
    <row r="452" ht="22" customHeight="1">
      <c r="A452" s="17" t="inlineStr">
        <is>
          <t>1005601-LB20</t>
        </is>
      </c>
      <c r="B452" s="18" t="n">
        <v>1005601</v>
      </c>
      <c r="C452" s="17" t="inlineStr">
        <is>
          <t>AMizuhara01</t>
        </is>
      </c>
      <c r="D452" s="17" t="inlineStr">
        <is>
          <t>AMizuhara</t>
        </is>
      </c>
      <c r="E452" s="17" t="inlineStr">
        <is>
          <t>瑞原 あいな</t>
        </is>
      </c>
      <c r="F452" s="19" t="inlineStr">
        <is>
          <t>深き海の学び手</t>
        </is>
      </c>
      <c r="G452" s="18" t="inlineStr">
        <is>
          <t>A</t>
        </is>
      </c>
      <c r="H452" s="17" t="inlineStr">
        <is>
          <t>Debuffer</t>
        </is>
      </c>
      <c r="I452" s="18" t="n">
        <v>20</v>
      </c>
      <c r="J452" s="18" t="n">
        <v>20</v>
      </c>
      <c r="K452" s="18" t="n">
        <v>331</v>
      </c>
      <c r="L452" s="18" t="n">
        <v>290</v>
      </c>
      <c r="M452" s="18" t="n">
        <v>304</v>
      </c>
      <c r="N452" s="18" t="n">
        <v>332</v>
      </c>
      <c r="O452" s="18" t="n">
        <v>317</v>
      </c>
      <c r="P452" s="18" t="n">
        <v>326</v>
      </c>
      <c r="Q452" s="18" t="n">
        <v>34</v>
      </c>
      <c r="R452" s="18" t="n">
        <v>29</v>
      </c>
      <c r="S452" s="18" t="n">
        <v>31</v>
      </c>
      <c r="T452" s="18" t="n">
        <v>34</v>
      </c>
      <c r="U452" s="18" t="n">
        <v>32</v>
      </c>
      <c r="V452" s="18" t="n">
        <v>33</v>
      </c>
      <c r="W452" s="20" t="n"/>
      <c r="X452" s="20" t="n"/>
      <c r="Y452" s="20" t="n"/>
      <c r="Z452" s="20" t="n"/>
      <c r="AA452" s="20" t="n"/>
      <c r="AB452" s="20" t="n"/>
      <c r="AC452" s="21">
        <f>IF(W452="","",W452-K452)</f>
        <v/>
      </c>
      <c r="AD452" s="21">
        <f>IF(X452="","",X452-L452)</f>
        <v/>
      </c>
      <c r="AE452" s="21">
        <f>IF(Y452="","",Y452-M452)</f>
        <v/>
      </c>
      <c r="AF452" s="21">
        <f>IF(Z452="","",Z452-N452)</f>
        <v/>
      </c>
      <c r="AG452" s="21">
        <f>IF(AA452="","",AA452-O452)</f>
        <v/>
      </c>
      <c r="AH452" s="21">
        <f>IF(AB452="","",AB452-P452)</f>
        <v/>
      </c>
      <c r="AI452" s="18">
        <f>IF(COUNTA(W452:AB452)=0,"未入力",IF(COUNTA(W452:AB452)&lt;6,"一部入力",IF(COUNTIF(AC452:AH452,0)=6,"一致","差分あり")))</f>
        <v/>
      </c>
      <c r="AJ4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2" s="19" t="inlineStr"/>
      <c r="AL452" s="18" t="inlineStr">
        <is>
          <t>2026-06-29</t>
        </is>
      </c>
    </row>
    <row r="453" ht="22" customHeight="1">
      <c r="A453" s="17" t="inlineStr">
        <is>
          <t>1005602-LB0</t>
        </is>
      </c>
      <c r="B453" s="18" t="n">
        <v>1005602</v>
      </c>
      <c r="C453" s="17" t="inlineStr">
        <is>
          <t>AMizuhara02</t>
        </is>
      </c>
      <c r="D453" s="17" t="inlineStr">
        <is>
          <t>AMizuhara</t>
        </is>
      </c>
      <c r="E453" s="17" t="inlineStr">
        <is>
          <t>瑞原 あいな</t>
        </is>
      </c>
      <c r="F453" s="19" t="inlineStr">
        <is>
          <t>アビスからの誘い</t>
        </is>
      </c>
      <c r="G453" s="18" t="inlineStr">
        <is>
          <t>S</t>
        </is>
      </c>
      <c r="H453" s="17" t="inlineStr">
        <is>
          <t>Debuffer</t>
        </is>
      </c>
      <c r="I453" s="18" t="n">
        <v>0</v>
      </c>
      <c r="J453" s="18" t="n">
        <v>10</v>
      </c>
      <c r="K453" s="18" t="n">
        <v>314</v>
      </c>
      <c r="L453" s="18" t="n">
        <v>317</v>
      </c>
      <c r="M453" s="18" t="n">
        <v>363</v>
      </c>
      <c r="N453" s="18" t="n">
        <v>359</v>
      </c>
      <c r="O453" s="18" t="n">
        <v>301</v>
      </c>
      <c r="P453" s="18" t="n">
        <v>300</v>
      </c>
      <c r="Q453" s="18" t="n">
        <v>32</v>
      </c>
      <c r="R453" s="18" t="n">
        <v>32</v>
      </c>
      <c r="S453" s="18" t="n">
        <v>37</v>
      </c>
      <c r="T453" s="18" t="n">
        <v>36</v>
      </c>
      <c r="U453" s="18" t="n">
        <v>31</v>
      </c>
      <c r="V453" s="18" t="n">
        <v>30</v>
      </c>
      <c r="W453" s="20" t="n"/>
      <c r="X453" s="20" t="n"/>
      <c r="Y453" s="20" t="n"/>
      <c r="Z453" s="20" t="n"/>
      <c r="AA453" s="20" t="n"/>
      <c r="AB453" s="20" t="n"/>
      <c r="AC453" s="21">
        <f>IF(W453="","",W453-K453)</f>
        <v/>
      </c>
      <c r="AD453" s="21">
        <f>IF(X453="","",X453-L453)</f>
        <v/>
      </c>
      <c r="AE453" s="21">
        <f>IF(Y453="","",Y453-M453)</f>
        <v/>
      </c>
      <c r="AF453" s="21">
        <f>IF(Z453="","",Z453-N453)</f>
        <v/>
      </c>
      <c r="AG453" s="21">
        <f>IF(AA453="","",AA453-O453)</f>
        <v/>
      </c>
      <c r="AH453" s="21">
        <f>IF(AB453="","",AB453-P453)</f>
        <v/>
      </c>
      <c r="AI453" s="18">
        <f>IF(COUNTA(W453:AB453)=0,"未入力",IF(COUNTA(W453:AB453)&lt;6,"一部入力",IF(COUNTIF(AC453:AH453,0)=6,"一致","差分あり")))</f>
        <v/>
      </c>
      <c r="AJ4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3" s="19" t="inlineStr"/>
      <c r="AL453" s="18" t="inlineStr">
        <is>
          <t>2026-06-29</t>
        </is>
      </c>
    </row>
    <row r="454" ht="22" customHeight="1">
      <c r="A454" s="17" t="inlineStr">
        <is>
          <t>1005602-LB10</t>
        </is>
      </c>
      <c r="B454" s="18" t="n">
        <v>1005602</v>
      </c>
      <c r="C454" s="17" t="inlineStr">
        <is>
          <t>AMizuhara02</t>
        </is>
      </c>
      <c r="D454" s="17" t="inlineStr">
        <is>
          <t>AMizuhara</t>
        </is>
      </c>
      <c r="E454" s="17" t="inlineStr">
        <is>
          <t>瑞原 あいな</t>
        </is>
      </c>
      <c r="F454" s="19" t="inlineStr">
        <is>
          <t>アビスからの誘い</t>
        </is>
      </c>
      <c r="G454" s="18" t="inlineStr">
        <is>
          <t>S</t>
        </is>
      </c>
      <c r="H454" s="17" t="inlineStr">
        <is>
          <t>Debuffer</t>
        </is>
      </c>
      <c r="I454" s="18" t="n">
        <v>10</v>
      </c>
      <c r="J454" s="18" t="n">
        <v>10</v>
      </c>
      <c r="K454" s="18" t="n">
        <v>380</v>
      </c>
      <c r="L454" s="18" t="n">
        <v>383</v>
      </c>
      <c r="M454" s="18" t="n">
        <v>435</v>
      </c>
      <c r="N454" s="18" t="n">
        <v>426</v>
      </c>
      <c r="O454" s="18" t="n">
        <v>365</v>
      </c>
      <c r="P454" s="18" t="n">
        <v>364</v>
      </c>
      <c r="Q454" s="18" t="n">
        <v>38</v>
      </c>
      <c r="R454" s="18" t="n">
        <v>39</v>
      </c>
      <c r="S454" s="18" t="n">
        <v>44</v>
      </c>
      <c r="T454" s="18" t="n">
        <v>43</v>
      </c>
      <c r="U454" s="18" t="n">
        <v>37</v>
      </c>
      <c r="V454" s="18" t="n">
        <v>37</v>
      </c>
      <c r="W454" s="20" t="n"/>
      <c r="X454" s="20" t="n"/>
      <c r="Y454" s="20" t="n"/>
      <c r="Z454" s="20" t="n"/>
      <c r="AA454" s="20" t="n"/>
      <c r="AB454" s="20" t="n"/>
      <c r="AC454" s="21">
        <f>IF(W454="","",W454-K454)</f>
        <v/>
      </c>
      <c r="AD454" s="21">
        <f>IF(X454="","",X454-L454)</f>
        <v/>
      </c>
      <c r="AE454" s="21">
        <f>IF(Y454="","",Y454-M454)</f>
        <v/>
      </c>
      <c r="AF454" s="21">
        <f>IF(Z454="","",Z454-N454)</f>
        <v/>
      </c>
      <c r="AG454" s="21">
        <f>IF(AA454="","",AA454-O454)</f>
        <v/>
      </c>
      <c r="AH454" s="21">
        <f>IF(AB454="","",AB454-P454)</f>
        <v/>
      </c>
      <c r="AI454" s="18">
        <f>IF(COUNTA(W454:AB454)=0,"未入力",IF(COUNTA(W454:AB454)&lt;6,"一部入力",IF(COUNTIF(AC454:AH454,0)=6,"一致","差分あり")))</f>
        <v/>
      </c>
      <c r="AJ4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4" s="19" t="inlineStr"/>
      <c r="AL454" s="18" t="inlineStr">
        <is>
          <t>2026-06-29</t>
        </is>
      </c>
    </row>
    <row r="455" ht="22" customHeight="1">
      <c r="A455" s="17" t="inlineStr">
        <is>
          <t>1005603-LB0</t>
        </is>
      </c>
      <c r="B455" s="18" t="n">
        <v>1005603</v>
      </c>
      <c r="C455" s="17" t="inlineStr">
        <is>
          <t>AMizuhara03</t>
        </is>
      </c>
      <c r="D455" s="17" t="inlineStr">
        <is>
          <t>AMizuhara</t>
        </is>
      </c>
      <c r="E455" s="17" t="inlineStr">
        <is>
          <t>瑞原 あいな</t>
        </is>
      </c>
      <c r="F455" s="19" t="inlineStr">
        <is>
          <t>ロックアップオルカ</t>
        </is>
      </c>
      <c r="G455" s="18" t="inlineStr">
        <is>
          <t>SS</t>
        </is>
      </c>
      <c r="H455" s="17" t="inlineStr">
        <is>
          <t>Debuffer</t>
        </is>
      </c>
      <c r="I455" s="18" t="n">
        <v>0</v>
      </c>
      <c r="J455" s="18" t="n">
        <v>4</v>
      </c>
      <c r="K455" s="18" t="n">
        <v>339</v>
      </c>
      <c r="L455" s="18" t="n">
        <v>412</v>
      </c>
      <c r="M455" s="18" t="n">
        <v>394</v>
      </c>
      <c r="N455" s="18" t="n">
        <v>373</v>
      </c>
      <c r="O455" s="18" t="n">
        <v>383</v>
      </c>
      <c r="P455" s="18" t="n">
        <v>369</v>
      </c>
      <c r="Q455" s="18" t="n">
        <v>34</v>
      </c>
      <c r="R455" s="18" t="n">
        <v>42</v>
      </c>
      <c r="S455" s="18" t="n">
        <v>40</v>
      </c>
      <c r="T455" s="18" t="n">
        <v>38</v>
      </c>
      <c r="U455" s="18" t="n">
        <v>39</v>
      </c>
      <c r="V455" s="18" t="n">
        <v>37</v>
      </c>
      <c r="W455" s="20" t="n"/>
      <c r="X455" s="20" t="n"/>
      <c r="Y455" s="20" t="n"/>
      <c r="Z455" s="20" t="n"/>
      <c r="AA455" s="20" t="n"/>
      <c r="AB455" s="20" t="n"/>
      <c r="AC455" s="21">
        <f>IF(W455="","",W455-K455)</f>
        <v/>
      </c>
      <c r="AD455" s="21">
        <f>IF(X455="","",X455-L455)</f>
        <v/>
      </c>
      <c r="AE455" s="21">
        <f>IF(Y455="","",Y455-M455)</f>
        <v/>
      </c>
      <c r="AF455" s="21">
        <f>IF(Z455="","",Z455-N455)</f>
        <v/>
      </c>
      <c r="AG455" s="21">
        <f>IF(AA455="","",AA455-O455)</f>
        <v/>
      </c>
      <c r="AH455" s="21">
        <f>IF(AB455="","",AB455-P455)</f>
        <v/>
      </c>
      <c r="AI455" s="18">
        <f>IF(COUNTA(W455:AB455)=0,"未入力",IF(COUNTA(W455:AB455)&lt;6,"一部入力",IF(COUNTIF(AC455:AH455,0)=6,"一致","差分あり")))</f>
        <v/>
      </c>
      <c r="AJ4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5" s="19" t="inlineStr"/>
      <c r="AL455" s="18" t="inlineStr">
        <is>
          <t>2026-06-29</t>
        </is>
      </c>
    </row>
    <row r="456" ht="22" customHeight="1">
      <c r="A456" s="17" t="inlineStr">
        <is>
          <t>1005603-LB4</t>
        </is>
      </c>
      <c r="B456" s="18" t="n">
        <v>1005603</v>
      </c>
      <c r="C456" s="17" t="inlineStr">
        <is>
          <t>AMizuhara03</t>
        </is>
      </c>
      <c r="D456" s="17" t="inlineStr">
        <is>
          <t>AMizuhara</t>
        </is>
      </c>
      <c r="E456" s="17" t="inlineStr">
        <is>
          <t>瑞原 あいな</t>
        </is>
      </c>
      <c r="F456" s="19" t="inlineStr">
        <is>
          <t>ロックアップオルカ</t>
        </is>
      </c>
      <c r="G456" s="18" t="inlineStr">
        <is>
          <t>SS</t>
        </is>
      </c>
      <c r="H456" s="17" t="inlineStr">
        <is>
          <t>Debuffer</t>
        </is>
      </c>
      <c r="I456" s="18" t="n">
        <v>4</v>
      </c>
      <c r="J456" s="18" t="n">
        <v>4</v>
      </c>
      <c r="K456" s="18" t="n">
        <v>426</v>
      </c>
      <c r="L456" s="18" t="n">
        <v>499</v>
      </c>
      <c r="M456" s="18" t="n">
        <v>486</v>
      </c>
      <c r="N456" s="18" t="n">
        <v>463</v>
      </c>
      <c r="O456" s="18" t="n">
        <v>469</v>
      </c>
      <c r="P456" s="18" t="n">
        <v>455</v>
      </c>
      <c r="Q456" s="18" t="n">
        <v>43</v>
      </c>
      <c r="R456" s="18" t="n">
        <v>50</v>
      </c>
      <c r="S456" s="18" t="n">
        <v>49</v>
      </c>
      <c r="T456" s="18" t="n">
        <v>47</v>
      </c>
      <c r="U456" s="18" t="n">
        <v>47</v>
      </c>
      <c r="V456" s="18" t="n">
        <v>46</v>
      </c>
      <c r="W456" s="20" t="n"/>
      <c r="X456" s="20" t="n"/>
      <c r="Y456" s="20" t="n"/>
      <c r="Z456" s="20" t="n"/>
      <c r="AA456" s="20" t="n"/>
      <c r="AB456" s="20" t="n"/>
      <c r="AC456" s="21">
        <f>IF(W456="","",W456-K456)</f>
        <v/>
      </c>
      <c r="AD456" s="21">
        <f>IF(X456="","",X456-L456)</f>
        <v/>
      </c>
      <c r="AE456" s="21">
        <f>IF(Y456="","",Y456-M456)</f>
        <v/>
      </c>
      <c r="AF456" s="21">
        <f>IF(Z456="","",Z456-N456)</f>
        <v/>
      </c>
      <c r="AG456" s="21">
        <f>IF(AA456="","",AA456-O456)</f>
        <v/>
      </c>
      <c r="AH456" s="21">
        <f>IF(AB456="","",AB456-P456)</f>
        <v/>
      </c>
      <c r="AI456" s="18">
        <f>IF(COUNTA(W456:AB456)=0,"未入力",IF(COUNTA(W456:AB456)&lt;6,"一部入力",IF(COUNTIF(AC456:AH456,0)=6,"一致","差分あり")))</f>
        <v/>
      </c>
      <c r="AJ4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6" s="19" t="inlineStr"/>
      <c r="AL456" s="18" t="inlineStr">
        <is>
          <t>2026-06-29</t>
        </is>
      </c>
    </row>
    <row r="457" ht="22" customHeight="1">
      <c r="A457" s="17" t="inlineStr">
        <is>
          <t>1005604-LB0</t>
        </is>
      </c>
      <c r="B457" s="18" t="n">
        <v>1005604</v>
      </c>
      <c r="C457" s="17" t="inlineStr">
        <is>
          <t>AMizuhara04</t>
        </is>
      </c>
      <c r="D457" s="17" t="inlineStr">
        <is>
          <t>AMizuhara</t>
        </is>
      </c>
      <c r="E457" s="17" t="inlineStr">
        <is>
          <t>瑞原 あいな</t>
        </is>
      </c>
      <c r="F457" s="19" t="inlineStr">
        <is>
          <t>奥深い味わいを</t>
        </is>
      </c>
      <c r="G457" s="18" t="inlineStr">
        <is>
          <t>S</t>
        </is>
      </c>
      <c r="H457" s="17" t="inlineStr">
        <is>
          <t>Debuffer</t>
        </is>
      </c>
      <c r="I457" s="18" t="n">
        <v>0</v>
      </c>
      <c r="J457" s="18" t="n">
        <v>10</v>
      </c>
      <c r="K457" s="18" t="n">
        <v>347</v>
      </c>
      <c r="L457" s="18" t="n">
        <v>306</v>
      </c>
      <c r="M457" s="18" t="n">
        <v>320</v>
      </c>
      <c r="N457" s="18" t="n">
        <v>325</v>
      </c>
      <c r="O457" s="18" t="n">
        <v>312</v>
      </c>
      <c r="P457" s="18" t="n">
        <v>342</v>
      </c>
      <c r="Q457" s="18" t="n">
        <v>35</v>
      </c>
      <c r="R457" s="18" t="n">
        <v>31</v>
      </c>
      <c r="S457" s="18" t="n">
        <v>32</v>
      </c>
      <c r="T457" s="18" t="n">
        <v>33</v>
      </c>
      <c r="U457" s="18" t="n">
        <v>32</v>
      </c>
      <c r="V457" s="18" t="n">
        <v>35</v>
      </c>
      <c r="W457" s="20" t="n"/>
      <c r="X457" s="20" t="n"/>
      <c r="Y457" s="20" t="n"/>
      <c r="Z457" s="20" t="n"/>
      <c r="AA457" s="20" t="n"/>
      <c r="AB457" s="20" t="n"/>
      <c r="AC457" s="21">
        <f>IF(W457="","",W457-K457)</f>
        <v/>
      </c>
      <c r="AD457" s="21">
        <f>IF(X457="","",X457-L457)</f>
        <v/>
      </c>
      <c r="AE457" s="21">
        <f>IF(Y457="","",Y457-M457)</f>
        <v/>
      </c>
      <c r="AF457" s="21">
        <f>IF(Z457="","",Z457-N457)</f>
        <v/>
      </c>
      <c r="AG457" s="21">
        <f>IF(AA457="","",AA457-O457)</f>
        <v/>
      </c>
      <c r="AH457" s="21">
        <f>IF(AB457="","",AB457-P457)</f>
        <v/>
      </c>
      <c r="AI457" s="18">
        <f>IF(COUNTA(W457:AB457)=0,"未入力",IF(COUNTA(W457:AB457)&lt;6,"一部入力",IF(COUNTIF(AC457:AH457,0)=6,"一致","差分あり")))</f>
        <v/>
      </c>
      <c r="AJ4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7" s="19" t="inlineStr"/>
      <c r="AL457" s="18" t="inlineStr">
        <is>
          <t>2026-06-29</t>
        </is>
      </c>
    </row>
    <row r="458" ht="22" customHeight="1">
      <c r="A458" s="17" t="inlineStr">
        <is>
          <t>1005604-LB10</t>
        </is>
      </c>
      <c r="B458" s="18" t="n">
        <v>1005604</v>
      </c>
      <c r="C458" s="17" t="inlineStr">
        <is>
          <t>AMizuhara04</t>
        </is>
      </c>
      <c r="D458" s="17" t="inlineStr">
        <is>
          <t>AMizuhara</t>
        </is>
      </c>
      <c r="E458" s="17" t="inlineStr">
        <is>
          <t>瑞原 あいな</t>
        </is>
      </c>
      <c r="F458" s="19" t="inlineStr">
        <is>
          <t>奥深い味わいを</t>
        </is>
      </c>
      <c r="G458" s="18" t="inlineStr">
        <is>
          <t>S</t>
        </is>
      </c>
      <c r="H458" s="17" t="inlineStr">
        <is>
          <t>Debuffer</t>
        </is>
      </c>
      <c r="I458" s="18" t="n">
        <v>10</v>
      </c>
      <c r="J458" s="18" t="n">
        <v>10</v>
      </c>
      <c r="K458" s="18" t="n">
        <v>412</v>
      </c>
      <c r="L458" s="18" t="n">
        <v>372</v>
      </c>
      <c r="M458" s="18" t="n">
        <v>389</v>
      </c>
      <c r="N458" s="18" t="n">
        <v>393</v>
      </c>
      <c r="O458" s="18" t="n">
        <v>376</v>
      </c>
      <c r="P458" s="18" t="n">
        <v>407</v>
      </c>
      <c r="Q458" s="18" t="n">
        <v>42</v>
      </c>
      <c r="R458" s="18" t="n">
        <v>38</v>
      </c>
      <c r="S458" s="18" t="n">
        <v>39</v>
      </c>
      <c r="T458" s="18" t="n">
        <v>40</v>
      </c>
      <c r="U458" s="18" t="n">
        <v>38</v>
      </c>
      <c r="V458" s="18" t="n">
        <v>41</v>
      </c>
      <c r="W458" s="20" t="n"/>
      <c r="X458" s="20" t="n"/>
      <c r="Y458" s="20" t="n"/>
      <c r="Z458" s="20" t="n"/>
      <c r="AA458" s="20" t="n"/>
      <c r="AB458" s="20" t="n"/>
      <c r="AC458" s="21">
        <f>IF(W458="","",W458-K458)</f>
        <v/>
      </c>
      <c r="AD458" s="21">
        <f>IF(X458="","",X458-L458)</f>
        <v/>
      </c>
      <c r="AE458" s="21">
        <f>IF(Y458="","",Y458-M458)</f>
        <v/>
      </c>
      <c r="AF458" s="21">
        <f>IF(Z458="","",Z458-N458)</f>
        <v/>
      </c>
      <c r="AG458" s="21">
        <f>IF(AA458="","",AA458-O458)</f>
        <v/>
      </c>
      <c r="AH458" s="21">
        <f>IF(AB458="","",AB458-P458)</f>
        <v/>
      </c>
      <c r="AI458" s="18">
        <f>IF(COUNTA(W458:AB458)=0,"未入力",IF(COUNTA(W458:AB458)&lt;6,"一部入力",IF(COUNTIF(AC458:AH458,0)=6,"一致","差分あり")))</f>
        <v/>
      </c>
      <c r="AJ4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8" s="19" t="inlineStr"/>
      <c r="AL458" s="18" t="inlineStr">
        <is>
          <t>2026-06-29</t>
        </is>
      </c>
    </row>
    <row r="459" ht="22" customHeight="1">
      <c r="A459" s="17" t="inlineStr">
        <is>
          <t>1005605-LB0</t>
        </is>
      </c>
      <c r="B459" s="18" t="n">
        <v>1005605</v>
      </c>
      <c r="C459" s="17" t="inlineStr">
        <is>
          <t>AMizuhara05</t>
        </is>
      </c>
      <c r="D459" s="17" t="inlineStr">
        <is>
          <t>AMizuhara</t>
        </is>
      </c>
      <c r="E459" s="17" t="inlineStr">
        <is>
          <t>瑞原 あいな</t>
        </is>
      </c>
      <c r="F459" s="19" t="inlineStr">
        <is>
          <t>ラッシュ！スタブ！ツナ！</t>
        </is>
      </c>
      <c r="G459" s="18" t="inlineStr">
        <is>
          <t>SS</t>
        </is>
      </c>
      <c r="H459" s="17" t="inlineStr">
        <is>
          <t>Debuffer</t>
        </is>
      </c>
      <c r="I459" s="18" t="n">
        <v>0</v>
      </c>
      <c r="J459" s="18" t="n">
        <v>4</v>
      </c>
      <c r="K459" s="18" t="n">
        <v>396</v>
      </c>
      <c r="L459" s="18" t="n">
        <v>399</v>
      </c>
      <c r="M459" s="18" t="n">
        <v>453</v>
      </c>
      <c r="N459" s="18" t="n">
        <v>422</v>
      </c>
      <c r="O459" s="18" t="n">
        <v>379</v>
      </c>
      <c r="P459" s="18" t="n">
        <v>356</v>
      </c>
      <c r="Q459" s="18" t="n">
        <v>40</v>
      </c>
      <c r="R459" s="18" t="n">
        <v>40</v>
      </c>
      <c r="S459" s="18" t="n">
        <v>46</v>
      </c>
      <c r="T459" s="18" t="n">
        <v>43</v>
      </c>
      <c r="U459" s="18" t="n">
        <v>38</v>
      </c>
      <c r="V459" s="18" t="n">
        <v>36</v>
      </c>
      <c r="W459" s="20" t="n"/>
      <c r="X459" s="20" t="n"/>
      <c r="Y459" s="20" t="n"/>
      <c r="Z459" s="20" t="n"/>
      <c r="AA459" s="20" t="n"/>
      <c r="AB459" s="20" t="n"/>
      <c r="AC459" s="21">
        <f>IF(W459="","",W459-K459)</f>
        <v/>
      </c>
      <c r="AD459" s="21">
        <f>IF(X459="","",X459-L459)</f>
        <v/>
      </c>
      <c r="AE459" s="21">
        <f>IF(Y459="","",Y459-M459)</f>
        <v/>
      </c>
      <c r="AF459" s="21">
        <f>IF(Z459="","",Z459-N459)</f>
        <v/>
      </c>
      <c r="AG459" s="21">
        <f>IF(AA459="","",AA459-O459)</f>
        <v/>
      </c>
      <c r="AH459" s="21">
        <f>IF(AB459="","",AB459-P459)</f>
        <v/>
      </c>
      <c r="AI459" s="18">
        <f>IF(COUNTA(W459:AB459)=0,"未入力",IF(COUNTA(W459:AB459)&lt;6,"一部入力",IF(COUNTIF(AC459:AH459,0)=6,"一致","差分あり")))</f>
        <v/>
      </c>
      <c r="AJ4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59" s="19" t="inlineStr"/>
      <c r="AL459" s="18" t="inlineStr">
        <is>
          <t>2026-06-29</t>
        </is>
      </c>
    </row>
    <row r="460" ht="22" customHeight="1">
      <c r="A460" s="17" t="inlineStr">
        <is>
          <t>1005605-LB4</t>
        </is>
      </c>
      <c r="B460" s="18" t="n">
        <v>1005605</v>
      </c>
      <c r="C460" s="17" t="inlineStr">
        <is>
          <t>AMizuhara05</t>
        </is>
      </c>
      <c r="D460" s="17" t="inlineStr">
        <is>
          <t>AMizuhara</t>
        </is>
      </c>
      <c r="E460" s="17" t="inlineStr">
        <is>
          <t>瑞原 あいな</t>
        </is>
      </c>
      <c r="F460" s="19" t="inlineStr">
        <is>
          <t>ラッシュ！スタブ！ツナ！</t>
        </is>
      </c>
      <c r="G460" s="18" t="inlineStr">
        <is>
          <t>SS</t>
        </is>
      </c>
      <c r="H460" s="17" t="inlineStr">
        <is>
          <t>Debuffer</t>
        </is>
      </c>
      <c r="I460" s="18" t="n">
        <v>4</v>
      </c>
      <c r="J460" s="18" t="n">
        <v>4</v>
      </c>
      <c r="K460" s="18" t="n">
        <v>482</v>
      </c>
      <c r="L460" s="18" t="n">
        <v>486</v>
      </c>
      <c r="M460" s="18" t="n">
        <v>545</v>
      </c>
      <c r="N460" s="18" t="n">
        <v>512</v>
      </c>
      <c r="O460" s="18" t="n">
        <v>465</v>
      </c>
      <c r="P460" s="18" t="n">
        <v>442</v>
      </c>
      <c r="Q460" s="18" t="n">
        <v>49</v>
      </c>
      <c r="R460" s="18" t="n">
        <v>49</v>
      </c>
      <c r="S460" s="18" t="n">
        <v>55</v>
      </c>
      <c r="T460" s="18" t="n">
        <v>52</v>
      </c>
      <c r="U460" s="18" t="n">
        <v>47</v>
      </c>
      <c r="V460" s="18" t="n">
        <v>45</v>
      </c>
      <c r="W460" s="20" t="n"/>
      <c r="X460" s="20" t="n"/>
      <c r="Y460" s="20" t="n"/>
      <c r="Z460" s="20" t="n"/>
      <c r="AA460" s="20" t="n"/>
      <c r="AB460" s="20" t="n"/>
      <c r="AC460" s="21">
        <f>IF(W460="","",W460-K460)</f>
        <v/>
      </c>
      <c r="AD460" s="21">
        <f>IF(X460="","",X460-L460)</f>
        <v/>
      </c>
      <c r="AE460" s="21">
        <f>IF(Y460="","",Y460-M460)</f>
        <v/>
      </c>
      <c r="AF460" s="21">
        <f>IF(Z460="","",Z460-N460)</f>
        <v/>
      </c>
      <c r="AG460" s="21">
        <f>IF(AA460="","",AA460-O460)</f>
        <v/>
      </c>
      <c r="AH460" s="21">
        <f>IF(AB460="","",AB460-P460)</f>
        <v/>
      </c>
      <c r="AI460" s="18">
        <f>IF(COUNTA(W460:AB460)=0,"未入力",IF(COUNTA(W460:AB460)&lt;6,"一部入力",IF(COUNTIF(AC460:AH460,0)=6,"一致","差分あり")))</f>
        <v/>
      </c>
      <c r="AJ4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0" s="19" t="inlineStr"/>
      <c r="AL460" s="18" t="inlineStr">
        <is>
          <t>2026-06-29</t>
        </is>
      </c>
    </row>
    <row r="461" ht="22" customHeight="1">
      <c r="A461" s="17" t="inlineStr">
        <is>
          <t>1005606-LB0</t>
        </is>
      </c>
      <c r="B461" s="18" t="n">
        <v>1005606</v>
      </c>
      <c r="C461" s="17" t="inlineStr">
        <is>
          <t>AMizuhara06</t>
        </is>
      </c>
      <c r="D461" s="17" t="inlineStr">
        <is>
          <t>AMizuhara</t>
        </is>
      </c>
      <c r="E461" s="17" t="inlineStr">
        <is>
          <t>瑞原 あいな</t>
        </is>
      </c>
      <c r="F461" s="19" t="inlineStr">
        <is>
          <t>溟海に捧ぐアフェクション</t>
        </is>
      </c>
      <c r="G461" s="18" t="inlineStr">
        <is>
          <t>SS</t>
        </is>
      </c>
      <c r="H461" s="17" t="inlineStr">
        <is>
          <t>Debuffer</t>
        </is>
      </c>
      <c r="I461" s="18" t="n">
        <v>0</v>
      </c>
      <c r="J461" s="18" t="n">
        <v>4</v>
      </c>
      <c r="K461" s="18" t="n">
        <v>396</v>
      </c>
      <c r="L461" s="18" t="n">
        <v>399</v>
      </c>
      <c r="M461" s="18" t="n">
        <v>453</v>
      </c>
      <c r="N461" s="18" t="n">
        <v>422</v>
      </c>
      <c r="O461" s="18" t="n">
        <v>379</v>
      </c>
      <c r="P461" s="18" t="n">
        <v>356</v>
      </c>
      <c r="Q461" s="18" t="n">
        <v>40</v>
      </c>
      <c r="R461" s="18" t="n">
        <v>40</v>
      </c>
      <c r="S461" s="18" t="n">
        <v>46</v>
      </c>
      <c r="T461" s="18" t="n">
        <v>43</v>
      </c>
      <c r="U461" s="18" t="n">
        <v>38</v>
      </c>
      <c r="V461" s="18" t="n">
        <v>36</v>
      </c>
      <c r="W461" s="20" t="n"/>
      <c r="X461" s="20" t="n"/>
      <c r="Y461" s="20" t="n"/>
      <c r="Z461" s="20" t="n"/>
      <c r="AA461" s="20" t="n"/>
      <c r="AB461" s="20" t="n"/>
      <c r="AC461" s="21">
        <f>IF(W461="","",W461-K461)</f>
        <v/>
      </c>
      <c r="AD461" s="21">
        <f>IF(X461="","",X461-L461)</f>
        <v/>
      </c>
      <c r="AE461" s="21">
        <f>IF(Y461="","",Y461-M461)</f>
        <v/>
      </c>
      <c r="AF461" s="21">
        <f>IF(Z461="","",Z461-N461)</f>
        <v/>
      </c>
      <c r="AG461" s="21">
        <f>IF(AA461="","",AA461-O461)</f>
        <v/>
      </c>
      <c r="AH461" s="21">
        <f>IF(AB461="","",AB461-P461)</f>
        <v/>
      </c>
      <c r="AI461" s="18">
        <f>IF(COUNTA(W461:AB461)=0,"未入力",IF(COUNTA(W461:AB461)&lt;6,"一部入力",IF(COUNTIF(AC461:AH461,0)=6,"一致","差分あり")))</f>
        <v/>
      </c>
      <c r="AJ4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1" s="19" t="inlineStr"/>
      <c r="AL461" s="18" t="inlineStr">
        <is>
          <t>2026-06-29</t>
        </is>
      </c>
    </row>
    <row r="462" ht="22" customHeight="1">
      <c r="A462" s="17" t="inlineStr">
        <is>
          <t>1005606-LB4</t>
        </is>
      </c>
      <c r="B462" s="18" t="n">
        <v>1005606</v>
      </c>
      <c r="C462" s="17" t="inlineStr">
        <is>
          <t>AMizuhara06</t>
        </is>
      </c>
      <c r="D462" s="17" t="inlineStr">
        <is>
          <t>AMizuhara</t>
        </is>
      </c>
      <c r="E462" s="17" t="inlineStr">
        <is>
          <t>瑞原 あいな</t>
        </is>
      </c>
      <c r="F462" s="19" t="inlineStr">
        <is>
          <t>溟海に捧ぐアフェクション</t>
        </is>
      </c>
      <c r="G462" s="18" t="inlineStr">
        <is>
          <t>SS</t>
        </is>
      </c>
      <c r="H462" s="17" t="inlineStr">
        <is>
          <t>Debuffer</t>
        </is>
      </c>
      <c r="I462" s="18" t="n">
        <v>4</v>
      </c>
      <c r="J462" s="18" t="n">
        <v>4</v>
      </c>
      <c r="K462" s="18" t="n">
        <v>482</v>
      </c>
      <c r="L462" s="18" t="n">
        <v>486</v>
      </c>
      <c r="M462" s="18" t="n">
        <v>545</v>
      </c>
      <c r="N462" s="18" t="n">
        <v>512</v>
      </c>
      <c r="O462" s="18" t="n">
        <v>465</v>
      </c>
      <c r="P462" s="18" t="n">
        <v>442</v>
      </c>
      <c r="Q462" s="18" t="n">
        <v>49</v>
      </c>
      <c r="R462" s="18" t="n">
        <v>49</v>
      </c>
      <c r="S462" s="18" t="n">
        <v>55</v>
      </c>
      <c r="T462" s="18" t="n">
        <v>52</v>
      </c>
      <c r="U462" s="18" t="n">
        <v>47</v>
      </c>
      <c r="V462" s="18" t="n">
        <v>45</v>
      </c>
      <c r="W462" s="20" t="n"/>
      <c r="X462" s="20" t="n"/>
      <c r="Y462" s="20" t="n"/>
      <c r="Z462" s="20" t="n"/>
      <c r="AA462" s="20" t="n"/>
      <c r="AB462" s="20" t="n"/>
      <c r="AC462" s="21">
        <f>IF(W462="","",W462-K462)</f>
        <v/>
      </c>
      <c r="AD462" s="21">
        <f>IF(X462="","",X462-L462)</f>
        <v/>
      </c>
      <c r="AE462" s="21">
        <f>IF(Y462="","",Y462-M462)</f>
        <v/>
      </c>
      <c r="AF462" s="21">
        <f>IF(Z462="","",Z462-N462)</f>
        <v/>
      </c>
      <c r="AG462" s="21">
        <f>IF(AA462="","",AA462-O462)</f>
        <v/>
      </c>
      <c r="AH462" s="21">
        <f>IF(AB462="","",AB462-P462)</f>
        <v/>
      </c>
      <c r="AI462" s="18">
        <f>IF(COUNTA(W462:AB462)=0,"未入力",IF(COUNTA(W462:AB462)&lt;6,"一部入力",IF(COUNTIF(AC462:AH462,0)=6,"一致","差分あり")))</f>
        <v/>
      </c>
      <c r="AJ4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2" s="19" t="inlineStr"/>
      <c r="AL462" s="18" t="inlineStr">
        <is>
          <t>2026-06-29</t>
        </is>
      </c>
    </row>
    <row r="463" ht="22" customHeight="1">
      <c r="A463" s="17" t="inlineStr">
        <is>
          <t>1005607-LB0</t>
        </is>
      </c>
      <c r="B463" s="18" t="n">
        <v>1005607</v>
      </c>
      <c r="C463" s="17" t="inlineStr">
        <is>
          <t>AMizuhara07</t>
        </is>
      </c>
      <c r="D463" s="17" t="inlineStr">
        <is>
          <t>AMizuhara</t>
        </is>
      </c>
      <c r="E463" s="17" t="inlineStr">
        <is>
          <t>瑞原 あいな</t>
        </is>
      </c>
      <c r="F463" s="19" t="inlineStr">
        <is>
          <t>キラキラサマーへ、ジャンプイン！</t>
        </is>
      </c>
      <c r="G463" s="18" t="inlineStr">
        <is>
          <t>SSR</t>
        </is>
      </c>
      <c r="H463" s="17" t="inlineStr">
        <is>
          <t>Debuffer</t>
        </is>
      </c>
      <c r="I463" s="18" t="n">
        <v>0</v>
      </c>
      <c r="J463" s="18" t="n">
        <v>4</v>
      </c>
      <c r="K463" s="18" t="n">
        <v>396</v>
      </c>
      <c r="L463" s="18" t="n">
        <v>399</v>
      </c>
      <c r="M463" s="18" t="n">
        <v>453</v>
      </c>
      <c r="N463" s="18" t="n">
        <v>422</v>
      </c>
      <c r="O463" s="18" t="n">
        <v>379</v>
      </c>
      <c r="P463" s="18" t="n">
        <v>356</v>
      </c>
      <c r="Q463" s="18" t="n">
        <v>40</v>
      </c>
      <c r="R463" s="18" t="n">
        <v>40</v>
      </c>
      <c r="S463" s="18" t="n">
        <v>46</v>
      </c>
      <c r="T463" s="18" t="n">
        <v>43</v>
      </c>
      <c r="U463" s="18" t="n">
        <v>38</v>
      </c>
      <c r="V463" s="18" t="n">
        <v>36</v>
      </c>
      <c r="W463" s="20" t="n"/>
      <c r="X463" s="20" t="n"/>
      <c r="Y463" s="20" t="n"/>
      <c r="Z463" s="20" t="n"/>
      <c r="AA463" s="20" t="n"/>
      <c r="AB463" s="20" t="n"/>
      <c r="AC463" s="21">
        <f>IF(W463="","",W463-K463)</f>
        <v/>
      </c>
      <c r="AD463" s="21">
        <f>IF(X463="","",X463-L463)</f>
        <v/>
      </c>
      <c r="AE463" s="21">
        <f>IF(Y463="","",Y463-M463)</f>
        <v/>
      </c>
      <c r="AF463" s="21">
        <f>IF(Z463="","",Z463-N463)</f>
        <v/>
      </c>
      <c r="AG463" s="21">
        <f>IF(AA463="","",AA463-O463)</f>
        <v/>
      </c>
      <c r="AH463" s="21">
        <f>IF(AB463="","",AB463-P463)</f>
        <v/>
      </c>
      <c r="AI463" s="18">
        <f>IF(COUNTA(W463:AB463)=0,"未入力",IF(COUNTA(W463:AB463)&lt;6,"一部入力",IF(COUNTIF(AC463:AH463,0)=6,"一致","差分あり")))</f>
        <v/>
      </c>
      <c r="AJ4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3" s="19" t="inlineStr"/>
      <c r="AL463" s="18" t="inlineStr">
        <is>
          <t>2026-06-29</t>
        </is>
      </c>
    </row>
    <row r="464" ht="22" customHeight="1">
      <c r="A464" s="17" t="inlineStr">
        <is>
          <t>1005607-LB4</t>
        </is>
      </c>
      <c r="B464" s="18" t="n">
        <v>1005607</v>
      </c>
      <c r="C464" s="17" t="inlineStr">
        <is>
          <t>AMizuhara07</t>
        </is>
      </c>
      <c r="D464" s="17" t="inlineStr">
        <is>
          <t>AMizuhara</t>
        </is>
      </c>
      <c r="E464" s="17" t="inlineStr">
        <is>
          <t>瑞原 あいな</t>
        </is>
      </c>
      <c r="F464" s="19" t="inlineStr">
        <is>
          <t>キラキラサマーへ、ジャンプイン！</t>
        </is>
      </c>
      <c r="G464" s="18" t="inlineStr">
        <is>
          <t>SSR</t>
        </is>
      </c>
      <c r="H464" s="17" t="inlineStr">
        <is>
          <t>Debuffer</t>
        </is>
      </c>
      <c r="I464" s="18" t="n">
        <v>4</v>
      </c>
      <c r="J464" s="18" t="n">
        <v>4</v>
      </c>
      <c r="K464" s="18" t="n">
        <v>482</v>
      </c>
      <c r="L464" s="18" t="n">
        <v>486</v>
      </c>
      <c r="M464" s="18" t="n">
        <v>545</v>
      </c>
      <c r="N464" s="18" t="n">
        <v>512</v>
      </c>
      <c r="O464" s="18" t="n">
        <v>465</v>
      </c>
      <c r="P464" s="18" t="n">
        <v>442</v>
      </c>
      <c r="Q464" s="18" t="n">
        <v>49</v>
      </c>
      <c r="R464" s="18" t="n">
        <v>49</v>
      </c>
      <c r="S464" s="18" t="n">
        <v>55</v>
      </c>
      <c r="T464" s="18" t="n">
        <v>52</v>
      </c>
      <c r="U464" s="18" t="n">
        <v>47</v>
      </c>
      <c r="V464" s="18" t="n">
        <v>45</v>
      </c>
      <c r="W464" s="20" t="n"/>
      <c r="X464" s="20" t="n"/>
      <c r="Y464" s="20" t="n"/>
      <c r="Z464" s="20" t="n"/>
      <c r="AA464" s="20" t="n"/>
      <c r="AB464" s="20" t="n"/>
      <c r="AC464" s="21">
        <f>IF(W464="","",W464-K464)</f>
        <v/>
      </c>
      <c r="AD464" s="21">
        <f>IF(X464="","",X464-L464)</f>
        <v/>
      </c>
      <c r="AE464" s="21">
        <f>IF(Y464="","",Y464-M464)</f>
        <v/>
      </c>
      <c r="AF464" s="21">
        <f>IF(Z464="","",Z464-N464)</f>
        <v/>
      </c>
      <c r="AG464" s="21">
        <f>IF(AA464="","",AA464-O464)</f>
        <v/>
      </c>
      <c r="AH464" s="21">
        <f>IF(AB464="","",AB464-P464)</f>
        <v/>
      </c>
      <c r="AI464" s="18">
        <f>IF(COUNTA(W464:AB464)=0,"未入力",IF(COUNTA(W464:AB464)&lt;6,"一部入力",IF(COUNTIF(AC464:AH464,0)=6,"一致","差分あり")))</f>
        <v/>
      </c>
      <c r="AJ4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4" s="19" t="inlineStr"/>
      <c r="AL464" s="18" t="inlineStr">
        <is>
          <t>2026-06-29</t>
        </is>
      </c>
    </row>
    <row r="465" ht="22" customHeight="1">
      <c r="A465" s="17" t="inlineStr">
        <is>
          <t>1006101-LB0</t>
        </is>
      </c>
      <c r="B465" s="18" t="n">
        <v>1006101</v>
      </c>
      <c r="C465" s="17" t="inlineStr">
        <is>
          <t>IcOhshima01</t>
        </is>
      </c>
      <c r="D465" s="17" t="inlineStr">
        <is>
          <t>IcOhshima</t>
        </is>
      </c>
      <c r="E465" s="17" t="inlineStr">
        <is>
          <t>大島 一千子</t>
        </is>
      </c>
      <c r="F465" s="19" t="inlineStr">
        <is>
          <t>一千子の抱擁</t>
        </is>
      </c>
      <c r="G465" s="18" t="inlineStr">
        <is>
          <t>A</t>
        </is>
      </c>
      <c r="H465" s="17" t="inlineStr">
        <is>
          <t>Defender</t>
        </is>
      </c>
      <c r="I465" s="18" t="n">
        <v>0</v>
      </c>
      <c r="J465" s="18" t="n">
        <v>20</v>
      </c>
      <c r="K465" s="18" t="n">
        <v>247</v>
      </c>
      <c r="L465" s="18" t="n">
        <v>285</v>
      </c>
      <c r="M465" s="18" t="n">
        <v>284</v>
      </c>
      <c r="N465" s="18" t="n">
        <v>251</v>
      </c>
      <c r="O465" s="18" t="n">
        <v>282</v>
      </c>
      <c r="P465" s="18" t="n">
        <v>280</v>
      </c>
      <c r="Q465" s="18" t="n">
        <v>25</v>
      </c>
      <c r="R465" s="18" t="n">
        <v>29</v>
      </c>
      <c r="S465" s="18" t="n">
        <v>29</v>
      </c>
      <c r="T465" s="18" t="n">
        <v>26</v>
      </c>
      <c r="U465" s="18" t="n">
        <v>29</v>
      </c>
      <c r="V465" s="18" t="n">
        <v>28</v>
      </c>
      <c r="W465" s="20" t="n"/>
      <c r="X465" s="20" t="n"/>
      <c r="Y465" s="20" t="n"/>
      <c r="Z465" s="20" t="n"/>
      <c r="AA465" s="20" t="n"/>
      <c r="AB465" s="20" t="n"/>
      <c r="AC465" s="21">
        <f>IF(W465="","",W465-K465)</f>
        <v/>
      </c>
      <c r="AD465" s="21">
        <f>IF(X465="","",X465-L465)</f>
        <v/>
      </c>
      <c r="AE465" s="21">
        <f>IF(Y465="","",Y465-M465)</f>
        <v/>
      </c>
      <c r="AF465" s="21">
        <f>IF(Z465="","",Z465-N465)</f>
        <v/>
      </c>
      <c r="AG465" s="21">
        <f>IF(AA465="","",AA465-O465)</f>
        <v/>
      </c>
      <c r="AH465" s="21">
        <f>IF(AB465="","",AB465-P465)</f>
        <v/>
      </c>
      <c r="AI465" s="18">
        <f>IF(COUNTA(W465:AB465)=0,"未入力",IF(COUNTA(W465:AB465)&lt;6,"一部入力",IF(COUNTIF(AC465:AH465,0)=6,"一致","差分あり")))</f>
        <v/>
      </c>
      <c r="AJ4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5" s="19" t="inlineStr"/>
      <c r="AL465" s="18" t="inlineStr">
        <is>
          <t>2026-06-29</t>
        </is>
      </c>
    </row>
    <row r="466" ht="22" customHeight="1">
      <c r="A466" s="17" t="inlineStr">
        <is>
          <t>1006101-LB20</t>
        </is>
      </c>
      <c r="B466" s="18" t="n">
        <v>1006101</v>
      </c>
      <c r="C466" s="17" t="inlineStr">
        <is>
          <t>IcOhshima01</t>
        </is>
      </c>
      <c r="D466" s="17" t="inlineStr">
        <is>
          <t>IcOhshima</t>
        </is>
      </c>
      <c r="E466" s="17" t="inlineStr">
        <is>
          <t>大島 一千子</t>
        </is>
      </c>
      <c r="F466" s="19" t="inlineStr">
        <is>
          <t>一千子の抱擁</t>
        </is>
      </c>
      <c r="G466" s="18" t="inlineStr">
        <is>
          <t>A</t>
        </is>
      </c>
      <c r="H466" s="17" t="inlineStr">
        <is>
          <t>Defender</t>
        </is>
      </c>
      <c r="I466" s="18" t="n">
        <v>20</v>
      </c>
      <c r="J466" s="18" t="n">
        <v>20</v>
      </c>
      <c r="K466" s="18" t="n">
        <v>291</v>
      </c>
      <c r="L466" s="18" t="n">
        <v>329</v>
      </c>
      <c r="M466" s="18" t="n">
        <v>329</v>
      </c>
      <c r="N466" s="18" t="n">
        <v>295</v>
      </c>
      <c r="O466" s="18" t="n">
        <v>325</v>
      </c>
      <c r="P466" s="18" t="n">
        <v>324</v>
      </c>
      <c r="Q466" s="18" t="n">
        <v>30</v>
      </c>
      <c r="R466" s="18" t="n">
        <v>33</v>
      </c>
      <c r="S466" s="18" t="n">
        <v>33</v>
      </c>
      <c r="T466" s="18" t="n">
        <v>30</v>
      </c>
      <c r="U466" s="18" t="n">
        <v>33</v>
      </c>
      <c r="V466" s="18" t="n">
        <v>33</v>
      </c>
      <c r="W466" s="20" t="n"/>
      <c r="X466" s="20" t="n"/>
      <c r="Y466" s="20" t="n"/>
      <c r="Z466" s="20" t="n"/>
      <c r="AA466" s="20" t="n"/>
      <c r="AB466" s="20" t="n"/>
      <c r="AC466" s="21">
        <f>IF(W466="","",W466-K466)</f>
        <v/>
      </c>
      <c r="AD466" s="21">
        <f>IF(X466="","",X466-L466)</f>
        <v/>
      </c>
      <c r="AE466" s="21">
        <f>IF(Y466="","",Y466-M466)</f>
        <v/>
      </c>
      <c r="AF466" s="21">
        <f>IF(Z466="","",Z466-N466)</f>
        <v/>
      </c>
      <c r="AG466" s="21">
        <f>IF(AA466="","",AA466-O466)</f>
        <v/>
      </c>
      <c r="AH466" s="21">
        <f>IF(AB466="","",AB466-P466)</f>
        <v/>
      </c>
      <c r="AI466" s="18">
        <f>IF(COUNTA(W466:AB466)=0,"未入力",IF(COUNTA(W466:AB466)&lt;6,"一部入力",IF(COUNTIF(AC466:AH466,0)=6,"一致","差分あり")))</f>
        <v/>
      </c>
      <c r="AJ4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6" s="19" t="inlineStr"/>
      <c r="AL466" s="18" t="inlineStr">
        <is>
          <t>2026-06-29</t>
        </is>
      </c>
    </row>
    <row r="467" ht="22" customHeight="1">
      <c r="A467" s="17" t="inlineStr">
        <is>
          <t>1006102-LB0</t>
        </is>
      </c>
      <c r="B467" s="18" t="n">
        <v>1006102</v>
      </c>
      <c r="C467" s="17" t="inlineStr">
        <is>
          <t>IcOhshima02</t>
        </is>
      </c>
      <c r="D467" s="17" t="inlineStr">
        <is>
          <t>IcOhshima</t>
        </is>
      </c>
      <c r="E467" s="17" t="inlineStr">
        <is>
          <t>大島 一千子</t>
        </is>
      </c>
      <c r="F467" s="19" t="inlineStr">
        <is>
          <t>同床異夢明けて</t>
        </is>
      </c>
      <c r="G467" s="18" t="inlineStr">
        <is>
          <t>S</t>
        </is>
      </c>
      <c r="H467" s="17" t="inlineStr">
        <is>
          <t>Defender</t>
        </is>
      </c>
      <c r="I467" s="18" t="n">
        <v>0</v>
      </c>
      <c r="J467" s="18" t="n">
        <v>10</v>
      </c>
      <c r="K467" s="18" t="n">
        <v>348</v>
      </c>
      <c r="L467" s="18" t="n">
        <v>302</v>
      </c>
      <c r="M467" s="18" t="n">
        <v>311</v>
      </c>
      <c r="N467" s="18" t="n">
        <v>323</v>
      </c>
      <c r="O467" s="18" t="n">
        <v>309</v>
      </c>
      <c r="P467" s="18" t="n">
        <v>351</v>
      </c>
      <c r="Q467" s="18" t="n">
        <v>35</v>
      </c>
      <c r="R467" s="18" t="n">
        <v>31</v>
      </c>
      <c r="S467" s="18" t="n">
        <v>32</v>
      </c>
      <c r="T467" s="18" t="n">
        <v>33</v>
      </c>
      <c r="U467" s="18" t="n">
        <v>31</v>
      </c>
      <c r="V467" s="18" t="n">
        <v>36</v>
      </c>
      <c r="W467" s="20" t="n"/>
      <c r="X467" s="20" t="n"/>
      <c r="Y467" s="20" t="n"/>
      <c r="Z467" s="20" t="n"/>
      <c r="AA467" s="20" t="n"/>
      <c r="AB467" s="20" t="n"/>
      <c r="AC467" s="21">
        <f>IF(W467="","",W467-K467)</f>
        <v/>
      </c>
      <c r="AD467" s="21">
        <f>IF(X467="","",X467-L467)</f>
        <v/>
      </c>
      <c r="AE467" s="21">
        <f>IF(Y467="","",Y467-M467)</f>
        <v/>
      </c>
      <c r="AF467" s="21">
        <f>IF(Z467="","",Z467-N467)</f>
        <v/>
      </c>
      <c r="AG467" s="21">
        <f>IF(AA467="","",AA467-O467)</f>
        <v/>
      </c>
      <c r="AH467" s="21">
        <f>IF(AB467="","",AB467-P467)</f>
        <v/>
      </c>
      <c r="AI467" s="18">
        <f>IF(COUNTA(W467:AB467)=0,"未入力",IF(COUNTA(W467:AB467)&lt;6,"一部入力",IF(COUNTIF(AC467:AH467,0)=6,"一致","差分あり")))</f>
        <v/>
      </c>
      <c r="AJ4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7" s="19" t="inlineStr"/>
      <c r="AL467" s="18" t="inlineStr">
        <is>
          <t>2026-06-29</t>
        </is>
      </c>
    </row>
    <row r="468" ht="22" customHeight="1">
      <c r="A468" s="17" t="inlineStr">
        <is>
          <t>1006102-LB10</t>
        </is>
      </c>
      <c r="B468" s="18" t="n">
        <v>1006102</v>
      </c>
      <c r="C468" s="17" t="inlineStr">
        <is>
          <t>IcOhshima02</t>
        </is>
      </c>
      <c r="D468" s="17" t="inlineStr">
        <is>
          <t>IcOhshima</t>
        </is>
      </c>
      <c r="E468" s="17" t="inlineStr">
        <is>
          <t>大島 一千子</t>
        </is>
      </c>
      <c r="F468" s="19" t="inlineStr">
        <is>
          <t>同床異夢明けて</t>
        </is>
      </c>
      <c r="G468" s="18" t="inlineStr">
        <is>
          <t>S</t>
        </is>
      </c>
      <c r="H468" s="17" t="inlineStr">
        <is>
          <t>Defender</t>
        </is>
      </c>
      <c r="I468" s="18" t="n">
        <v>10</v>
      </c>
      <c r="J468" s="18" t="n">
        <v>10</v>
      </c>
      <c r="K468" s="18" t="n">
        <v>417</v>
      </c>
      <c r="L468" s="18" t="n">
        <v>367</v>
      </c>
      <c r="M468" s="18" t="n">
        <v>378</v>
      </c>
      <c r="N468" s="18" t="n">
        <v>389</v>
      </c>
      <c r="O468" s="18" t="n">
        <v>373</v>
      </c>
      <c r="P468" s="18" t="n">
        <v>417</v>
      </c>
      <c r="Q468" s="18" t="n">
        <v>42</v>
      </c>
      <c r="R468" s="18" t="n">
        <v>37</v>
      </c>
      <c r="S468" s="18" t="n">
        <v>38</v>
      </c>
      <c r="T468" s="18" t="n">
        <v>39</v>
      </c>
      <c r="U468" s="18" t="n">
        <v>38</v>
      </c>
      <c r="V468" s="18" t="n">
        <v>42</v>
      </c>
      <c r="W468" s="20" t="n"/>
      <c r="X468" s="20" t="n"/>
      <c r="Y468" s="20" t="n"/>
      <c r="Z468" s="20" t="n"/>
      <c r="AA468" s="20" t="n"/>
      <c r="AB468" s="20" t="n"/>
      <c r="AC468" s="21">
        <f>IF(W468="","",W468-K468)</f>
        <v/>
      </c>
      <c r="AD468" s="21">
        <f>IF(X468="","",X468-L468)</f>
        <v/>
      </c>
      <c r="AE468" s="21">
        <f>IF(Y468="","",Y468-M468)</f>
        <v/>
      </c>
      <c r="AF468" s="21">
        <f>IF(Z468="","",Z468-N468)</f>
        <v/>
      </c>
      <c r="AG468" s="21">
        <f>IF(AA468="","",AA468-O468)</f>
        <v/>
      </c>
      <c r="AH468" s="21">
        <f>IF(AB468="","",AB468-P468)</f>
        <v/>
      </c>
      <c r="AI468" s="18">
        <f>IF(COUNTA(W468:AB468)=0,"未入力",IF(COUNTA(W468:AB468)&lt;6,"一部入力",IF(COUNTIF(AC468:AH468,0)=6,"一致","差分あり")))</f>
        <v/>
      </c>
      <c r="AJ4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8" s="19" t="inlineStr"/>
      <c r="AL468" s="18" t="inlineStr">
        <is>
          <t>2026-06-29</t>
        </is>
      </c>
    </row>
    <row r="469" ht="22" customHeight="1">
      <c r="A469" s="17" t="inlineStr">
        <is>
          <t>1006103-LB0</t>
        </is>
      </c>
      <c r="B469" s="18" t="n">
        <v>1006103</v>
      </c>
      <c r="C469" s="17" t="inlineStr">
        <is>
          <t>IcOhshima03</t>
        </is>
      </c>
      <c r="D469" s="17" t="inlineStr">
        <is>
          <t>IcOhshima</t>
        </is>
      </c>
      <c r="E469" s="17" t="inlineStr">
        <is>
          <t>大島 一千子</t>
        </is>
      </c>
      <c r="F469" s="19" t="inlineStr">
        <is>
          <t>果てなき慈愛の守護者</t>
        </is>
      </c>
      <c r="G469" s="18" t="inlineStr">
        <is>
          <t>SS</t>
        </is>
      </c>
      <c r="H469" s="17" t="inlineStr">
        <is>
          <t>Defender</t>
        </is>
      </c>
      <c r="I469" s="18" t="n">
        <v>0</v>
      </c>
      <c r="J469" s="18" t="n">
        <v>4</v>
      </c>
      <c r="K469" s="18" t="n">
        <v>378</v>
      </c>
      <c r="L469" s="18" t="n">
        <v>372</v>
      </c>
      <c r="M469" s="18" t="n">
        <v>419</v>
      </c>
      <c r="N469" s="18" t="n">
        <v>396</v>
      </c>
      <c r="O469" s="18" t="n">
        <v>355</v>
      </c>
      <c r="P469" s="18" t="n">
        <v>343</v>
      </c>
      <c r="Q469" s="18" t="n">
        <v>38</v>
      </c>
      <c r="R469" s="18" t="n">
        <v>38</v>
      </c>
      <c r="S469" s="18" t="n">
        <v>42</v>
      </c>
      <c r="T469" s="18" t="n">
        <v>40</v>
      </c>
      <c r="U469" s="18" t="n">
        <v>36</v>
      </c>
      <c r="V469" s="18" t="n">
        <v>35</v>
      </c>
      <c r="W469" s="20" t="n"/>
      <c r="X469" s="20" t="n"/>
      <c r="Y469" s="20" t="n"/>
      <c r="Z469" s="20" t="n"/>
      <c r="AA469" s="20" t="n"/>
      <c r="AB469" s="20" t="n"/>
      <c r="AC469" s="21">
        <f>IF(W469="","",W469-K469)</f>
        <v/>
      </c>
      <c r="AD469" s="21">
        <f>IF(X469="","",X469-L469)</f>
        <v/>
      </c>
      <c r="AE469" s="21">
        <f>IF(Y469="","",Y469-M469)</f>
        <v/>
      </c>
      <c r="AF469" s="21">
        <f>IF(Z469="","",Z469-N469)</f>
        <v/>
      </c>
      <c r="AG469" s="21">
        <f>IF(AA469="","",AA469-O469)</f>
        <v/>
      </c>
      <c r="AH469" s="21">
        <f>IF(AB469="","",AB469-P469)</f>
        <v/>
      </c>
      <c r="AI469" s="18">
        <f>IF(COUNTA(W469:AB469)=0,"未入力",IF(COUNTA(W469:AB469)&lt;6,"一部入力",IF(COUNTIF(AC469:AH469,0)=6,"一致","差分あり")))</f>
        <v/>
      </c>
      <c r="AJ4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69" s="19" t="inlineStr"/>
      <c r="AL469" s="18" t="inlineStr">
        <is>
          <t>2026-06-29</t>
        </is>
      </c>
    </row>
    <row r="470" ht="22" customHeight="1">
      <c r="A470" s="17" t="inlineStr">
        <is>
          <t>1006103-LB4</t>
        </is>
      </c>
      <c r="B470" s="18" t="n">
        <v>1006103</v>
      </c>
      <c r="C470" s="17" t="inlineStr">
        <is>
          <t>IcOhshima03</t>
        </is>
      </c>
      <c r="D470" s="17" t="inlineStr">
        <is>
          <t>IcOhshima</t>
        </is>
      </c>
      <c r="E470" s="17" t="inlineStr">
        <is>
          <t>大島 一千子</t>
        </is>
      </c>
      <c r="F470" s="19" t="inlineStr">
        <is>
          <t>果てなき慈愛の守護者</t>
        </is>
      </c>
      <c r="G470" s="18" t="inlineStr">
        <is>
          <t>SS</t>
        </is>
      </c>
      <c r="H470" s="17" t="inlineStr">
        <is>
          <t>Defender</t>
        </is>
      </c>
      <c r="I470" s="18" t="n">
        <v>4</v>
      </c>
      <c r="J470" s="18" t="n">
        <v>4</v>
      </c>
      <c r="K470" s="18" t="n">
        <v>466</v>
      </c>
      <c r="L470" s="18" t="n">
        <v>459</v>
      </c>
      <c r="M470" s="18" t="n">
        <v>508</v>
      </c>
      <c r="N470" s="18" t="n">
        <v>485</v>
      </c>
      <c r="O470" s="18" t="n">
        <v>440</v>
      </c>
      <c r="P470" s="18" t="n">
        <v>431</v>
      </c>
      <c r="Q470" s="18" t="n">
        <v>47</v>
      </c>
      <c r="R470" s="18" t="n">
        <v>46</v>
      </c>
      <c r="S470" s="18" t="n">
        <v>51</v>
      </c>
      <c r="T470" s="18" t="n">
        <v>49</v>
      </c>
      <c r="U470" s="18" t="n">
        <v>44</v>
      </c>
      <c r="V470" s="18" t="n">
        <v>44</v>
      </c>
      <c r="W470" s="20" t="n"/>
      <c r="X470" s="20" t="n"/>
      <c r="Y470" s="20" t="n"/>
      <c r="Z470" s="20" t="n"/>
      <c r="AA470" s="20" t="n"/>
      <c r="AB470" s="20" t="n"/>
      <c r="AC470" s="21">
        <f>IF(W470="","",W470-K470)</f>
        <v/>
      </c>
      <c r="AD470" s="21">
        <f>IF(X470="","",X470-L470)</f>
        <v/>
      </c>
      <c r="AE470" s="21">
        <f>IF(Y470="","",Y470-M470)</f>
        <v/>
      </c>
      <c r="AF470" s="21">
        <f>IF(Z470="","",Z470-N470)</f>
        <v/>
      </c>
      <c r="AG470" s="21">
        <f>IF(AA470="","",AA470-O470)</f>
        <v/>
      </c>
      <c r="AH470" s="21">
        <f>IF(AB470="","",AB470-P470)</f>
        <v/>
      </c>
      <c r="AI470" s="18">
        <f>IF(COUNTA(W470:AB470)=0,"未入力",IF(COUNTA(W470:AB470)&lt;6,"一部入力",IF(COUNTIF(AC470:AH470,0)=6,"一致","差分あり")))</f>
        <v/>
      </c>
      <c r="AJ4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0" s="19" t="inlineStr"/>
      <c r="AL470" s="18" t="inlineStr">
        <is>
          <t>2026-06-29</t>
        </is>
      </c>
    </row>
    <row r="471" ht="22" customHeight="1">
      <c r="A471" s="17" t="inlineStr">
        <is>
          <t>1006104-LB0</t>
        </is>
      </c>
      <c r="B471" s="18" t="n">
        <v>1006104</v>
      </c>
      <c r="C471" s="17" t="inlineStr">
        <is>
          <t>IcOhshima04</t>
        </is>
      </c>
      <c r="D471" s="17" t="inlineStr">
        <is>
          <t>IcOhshima</t>
        </is>
      </c>
      <c r="E471" s="17" t="inlineStr">
        <is>
          <t>大島 一千子</t>
        </is>
      </c>
      <c r="F471" s="19" t="inlineStr">
        <is>
          <t>Sweet Phantasy</t>
        </is>
      </c>
      <c r="G471" s="18" t="inlineStr">
        <is>
          <t>SS</t>
        </is>
      </c>
      <c r="H471" s="17" t="inlineStr">
        <is>
          <t>Defender</t>
        </is>
      </c>
      <c r="I471" s="18" t="n">
        <v>0</v>
      </c>
      <c r="J471" s="18" t="n">
        <v>4</v>
      </c>
      <c r="K471" s="18" t="n">
        <v>435</v>
      </c>
      <c r="L471" s="18" t="n">
        <v>359</v>
      </c>
      <c r="M471" s="18" t="n">
        <v>392</v>
      </c>
      <c r="N471" s="18" t="n">
        <v>405</v>
      </c>
      <c r="O471" s="18" t="n">
        <v>389</v>
      </c>
      <c r="P471" s="18" t="n">
        <v>413</v>
      </c>
      <c r="Q471" s="18" t="n">
        <v>44</v>
      </c>
      <c r="R471" s="18" t="n">
        <v>36</v>
      </c>
      <c r="S471" s="18" t="n">
        <v>40</v>
      </c>
      <c r="T471" s="18" t="n">
        <v>41</v>
      </c>
      <c r="U471" s="18" t="n">
        <v>39</v>
      </c>
      <c r="V471" s="18" t="n">
        <v>42</v>
      </c>
      <c r="W471" s="20" t="n"/>
      <c r="X471" s="20" t="n"/>
      <c r="Y471" s="20" t="n"/>
      <c r="Z471" s="20" t="n"/>
      <c r="AA471" s="20" t="n"/>
      <c r="AB471" s="20" t="n"/>
      <c r="AC471" s="21">
        <f>IF(W471="","",W471-K471)</f>
        <v/>
      </c>
      <c r="AD471" s="21">
        <f>IF(X471="","",X471-L471)</f>
        <v/>
      </c>
      <c r="AE471" s="21">
        <f>IF(Y471="","",Y471-M471)</f>
        <v/>
      </c>
      <c r="AF471" s="21">
        <f>IF(Z471="","",Z471-N471)</f>
        <v/>
      </c>
      <c r="AG471" s="21">
        <f>IF(AA471="","",AA471-O471)</f>
        <v/>
      </c>
      <c r="AH471" s="21">
        <f>IF(AB471="","",AB471-P471)</f>
        <v/>
      </c>
      <c r="AI471" s="18">
        <f>IF(COUNTA(W471:AB471)=0,"未入力",IF(COUNTA(W471:AB471)&lt;6,"一部入力",IF(COUNTIF(AC471:AH471,0)=6,"一致","差分あり")))</f>
        <v/>
      </c>
      <c r="AJ4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1" s="19" t="inlineStr"/>
      <c r="AL471" s="18" t="inlineStr">
        <is>
          <t>2026-06-29</t>
        </is>
      </c>
    </row>
    <row r="472" ht="22" customHeight="1">
      <c r="A472" s="17" t="inlineStr">
        <is>
          <t>1006104-LB4</t>
        </is>
      </c>
      <c r="B472" s="18" t="n">
        <v>1006104</v>
      </c>
      <c r="C472" s="17" t="inlineStr">
        <is>
          <t>IcOhshima04</t>
        </is>
      </c>
      <c r="D472" s="17" t="inlineStr">
        <is>
          <t>IcOhshima</t>
        </is>
      </c>
      <c r="E472" s="17" t="inlineStr">
        <is>
          <t>大島 一千子</t>
        </is>
      </c>
      <c r="F472" s="19" t="inlineStr">
        <is>
          <t>Sweet Phantasy</t>
        </is>
      </c>
      <c r="G472" s="18" t="inlineStr">
        <is>
          <t>SS</t>
        </is>
      </c>
      <c r="H472" s="17" t="inlineStr">
        <is>
          <t>Defender</t>
        </is>
      </c>
      <c r="I472" s="18" t="n">
        <v>4</v>
      </c>
      <c r="J472" s="18" t="n">
        <v>4</v>
      </c>
      <c r="K472" s="18" t="n">
        <v>523</v>
      </c>
      <c r="L472" s="18" t="n">
        <v>446</v>
      </c>
      <c r="M472" s="18" t="n">
        <v>481</v>
      </c>
      <c r="N472" s="18" t="n">
        <v>495</v>
      </c>
      <c r="O472" s="18" t="n">
        <v>474</v>
      </c>
      <c r="P472" s="18" t="n">
        <v>501</v>
      </c>
      <c r="Q472" s="18" t="n">
        <v>53</v>
      </c>
      <c r="R472" s="18" t="n">
        <v>45</v>
      </c>
      <c r="S472" s="18" t="n">
        <v>49</v>
      </c>
      <c r="T472" s="18" t="n">
        <v>50</v>
      </c>
      <c r="U472" s="18" t="n">
        <v>48</v>
      </c>
      <c r="V472" s="18" t="n">
        <v>51</v>
      </c>
      <c r="W472" s="20" t="n"/>
      <c r="X472" s="20" t="n"/>
      <c r="Y472" s="20" t="n"/>
      <c r="Z472" s="20" t="n"/>
      <c r="AA472" s="20" t="n"/>
      <c r="AB472" s="20" t="n"/>
      <c r="AC472" s="21">
        <f>IF(W472="","",W472-K472)</f>
        <v/>
      </c>
      <c r="AD472" s="21">
        <f>IF(X472="","",X472-L472)</f>
        <v/>
      </c>
      <c r="AE472" s="21">
        <f>IF(Y472="","",Y472-M472)</f>
        <v/>
      </c>
      <c r="AF472" s="21">
        <f>IF(Z472="","",Z472-N472)</f>
        <v/>
      </c>
      <c r="AG472" s="21">
        <f>IF(AA472="","",AA472-O472)</f>
        <v/>
      </c>
      <c r="AH472" s="21">
        <f>IF(AB472="","",AB472-P472)</f>
        <v/>
      </c>
      <c r="AI472" s="18">
        <f>IF(COUNTA(W472:AB472)=0,"未入力",IF(COUNTA(W472:AB472)&lt;6,"一部入力",IF(COUNTIF(AC472:AH472,0)=6,"一致","差分あり")))</f>
        <v/>
      </c>
      <c r="AJ4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2" s="19" t="inlineStr"/>
      <c r="AL472" s="18" t="inlineStr">
        <is>
          <t>2026-06-29</t>
        </is>
      </c>
    </row>
    <row r="473" ht="22" customHeight="1">
      <c r="A473" s="17" t="inlineStr">
        <is>
          <t>1006105-LB0</t>
        </is>
      </c>
      <c r="B473" s="18" t="n">
        <v>1006105</v>
      </c>
      <c r="C473" s="17" t="inlineStr">
        <is>
          <t>IcOhshima05</t>
        </is>
      </c>
      <c r="D473" s="17" t="inlineStr">
        <is>
          <t>IcOhshima</t>
        </is>
      </c>
      <c r="E473" s="17" t="inlineStr">
        <is>
          <t>大島 一千子</t>
        </is>
      </c>
      <c r="F473" s="19" t="inlineStr">
        <is>
          <t>Sisters First</t>
        </is>
      </c>
      <c r="G473" s="18" t="inlineStr">
        <is>
          <t>S</t>
        </is>
      </c>
      <c r="H473" s="17" t="inlineStr">
        <is>
          <t>Buffer</t>
        </is>
      </c>
      <c r="I473" s="18" t="n">
        <v>0</v>
      </c>
      <c r="J473" s="18" t="n">
        <v>10</v>
      </c>
      <c r="K473" s="18" t="n">
        <v>318</v>
      </c>
      <c r="L473" s="18" t="n">
        <v>313</v>
      </c>
      <c r="M473" s="18" t="n">
        <v>356</v>
      </c>
      <c r="N473" s="18" t="n">
        <v>356</v>
      </c>
      <c r="O473" s="18" t="n">
        <v>298</v>
      </c>
      <c r="P473" s="18" t="n">
        <v>307</v>
      </c>
      <c r="Q473" s="18" t="n">
        <v>32</v>
      </c>
      <c r="R473" s="18" t="n">
        <v>32</v>
      </c>
      <c r="S473" s="18" t="n">
        <v>36</v>
      </c>
      <c r="T473" s="18" t="n">
        <v>36</v>
      </c>
      <c r="U473" s="18" t="n">
        <v>30</v>
      </c>
      <c r="V473" s="18" t="n">
        <v>31</v>
      </c>
      <c r="W473" s="20" t="n"/>
      <c r="X473" s="20" t="n"/>
      <c r="Y473" s="20" t="n"/>
      <c r="Z473" s="20" t="n"/>
      <c r="AA473" s="20" t="n"/>
      <c r="AB473" s="20" t="n"/>
      <c r="AC473" s="21">
        <f>IF(W473="","",W473-K473)</f>
        <v/>
      </c>
      <c r="AD473" s="21">
        <f>IF(X473="","",X473-L473)</f>
        <v/>
      </c>
      <c r="AE473" s="21">
        <f>IF(Y473="","",Y473-M473)</f>
        <v/>
      </c>
      <c r="AF473" s="21">
        <f>IF(Z473="","",Z473-N473)</f>
        <v/>
      </c>
      <c r="AG473" s="21">
        <f>IF(AA473="","",AA473-O473)</f>
        <v/>
      </c>
      <c r="AH473" s="21">
        <f>IF(AB473="","",AB473-P473)</f>
        <v/>
      </c>
      <c r="AI473" s="18">
        <f>IF(COUNTA(W473:AB473)=0,"未入力",IF(COUNTA(W473:AB473)&lt;6,"一部入力",IF(COUNTIF(AC473:AH473,0)=6,"一致","差分あり")))</f>
        <v/>
      </c>
      <c r="AJ4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3" s="19" t="inlineStr"/>
      <c r="AL473" s="18" t="inlineStr">
        <is>
          <t>2026-06-29</t>
        </is>
      </c>
    </row>
    <row r="474" ht="22" customHeight="1">
      <c r="A474" s="17" t="inlineStr">
        <is>
          <t>1006105-LB10</t>
        </is>
      </c>
      <c r="B474" s="18" t="n">
        <v>1006105</v>
      </c>
      <c r="C474" s="17" t="inlineStr">
        <is>
          <t>IcOhshima05</t>
        </is>
      </c>
      <c r="D474" s="17" t="inlineStr">
        <is>
          <t>IcOhshima</t>
        </is>
      </c>
      <c r="E474" s="17" t="inlineStr">
        <is>
          <t>大島 一千子</t>
        </is>
      </c>
      <c r="F474" s="19" t="inlineStr">
        <is>
          <t>Sisters First</t>
        </is>
      </c>
      <c r="G474" s="18" t="inlineStr">
        <is>
          <t>S</t>
        </is>
      </c>
      <c r="H474" s="17" t="inlineStr">
        <is>
          <t>Buffer</t>
        </is>
      </c>
      <c r="I474" s="18" t="n">
        <v>10</v>
      </c>
      <c r="J474" s="18" t="n">
        <v>10</v>
      </c>
      <c r="K474" s="18" t="n">
        <v>384</v>
      </c>
      <c r="L474" s="18" t="n">
        <v>378</v>
      </c>
      <c r="M474" s="18" t="n">
        <v>423</v>
      </c>
      <c r="N474" s="18" t="n">
        <v>423</v>
      </c>
      <c r="O474" s="18" t="n">
        <v>362</v>
      </c>
      <c r="P474" s="18" t="n">
        <v>373</v>
      </c>
      <c r="Q474" s="18" t="n">
        <v>39</v>
      </c>
      <c r="R474" s="18" t="n">
        <v>38</v>
      </c>
      <c r="S474" s="18" t="n">
        <v>43</v>
      </c>
      <c r="T474" s="18" t="n">
        <v>43</v>
      </c>
      <c r="U474" s="18" t="n">
        <v>37</v>
      </c>
      <c r="V474" s="18" t="n">
        <v>38</v>
      </c>
      <c r="W474" s="20" t="n"/>
      <c r="X474" s="20" t="n"/>
      <c r="Y474" s="20" t="n"/>
      <c r="Z474" s="20" t="n"/>
      <c r="AA474" s="20" t="n"/>
      <c r="AB474" s="20" t="n"/>
      <c r="AC474" s="21">
        <f>IF(W474="","",W474-K474)</f>
        <v/>
      </c>
      <c r="AD474" s="21">
        <f>IF(X474="","",X474-L474)</f>
        <v/>
      </c>
      <c r="AE474" s="21">
        <f>IF(Y474="","",Y474-M474)</f>
        <v/>
      </c>
      <c r="AF474" s="21">
        <f>IF(Z474="","",Z474-N474)</f>
        <v/>
      </c>
      <c r="AG474" s="21">
        <f>IF(AA474="","",AA474-O474)</f>
        <v/>
      </c>
      <c r="AH474" s="21">
        <f>IF(AB474="","",AB474-P474)</f>
        <v/>
      </c>
      <c r="AI474" s="18">
        <f>IF(COUNTA(W474:AB474)=0,"未入力",IF(COUNTA(W474:AB474)&lt;6,"一部入力",IF(COUNTIF(AC474:AH474,0)=6,"一致","差分あり")))</f>
        <v/>
      </c>
      <c r="AJ4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4" s="19" t="inlineStr"/>
      <c r="AL474" s="18" t="inlineStr">
        <is>
          <t>2026-06-29</t>
        </is>
      </c>
    </row>
    <row r="475" ht="22" customHeight="1">
      <c r="A475" s="17" t="inlineStr">
        <is>
          <t>1006106-LB0</t>
        </is>
      </c>
      <c r="B475" s="18" t="n">
        <v>1006106</v>
      </c>
      <c r="C475" s="17" t="inlineStr">
        <is>
          <t>IcOhshima06</t>
        </is>
      </c>
      <c r="D475" s="17" t="inlineStr">
        <is>
          <t>IcOhshima</t>
        </is>
      </c>
      <c r="E475" s="17" t="inlineStr">
        <is>
          <t>大島 一千子</t>
        </is>
      </c>
      <c r="F475" s="19" t="inlineStr">
        <is>
          <t>導きのルーセント</t>
        </is>
      </c>
      <c r="G475" s="18" t="inlineStr">
        <is>
          <t>SSR</t>
        </is>
      </c>
      <c r="H475" s="17" t="inlineStr">
        <is>
          <t>Debuffer</t>
        </is>
      </c>
      <c r="I475" s="18" t="n">
        <v>0</v>
      </c>
      <c r="J475" s="18" t="n">
        <v>4</v>
      </c>
      <c r="K475" s="18" t="n">
        <v>400</v>
      </c>
      <c r="L475" s="18" t="n">
        <v>394</v>
      </c>
      <c r="M475" s="18" t="n">
        <v>441</v>
      </c>
      <c r="N475" s="18" t="n">
        <v>419</v>
      </c>
      <c r="O475" s="18" t="n">
        <v>376</v>
      </c>
      <c r="P475" s="18" t="n">
        <v>365</v>
      </c>
      <c r="Q475" s="18" t="n">
        <v>40</v>
      </c>
      <c r="R475" s="18" t="n">
        <v>40</v>
      </c>
      <c r="S475" s="18" t="n">
        <v>45</v>
      </c>
      <c r="T475" s="18" t="n">
        <v>42</v>
      </c>
      <c r="U475" s="18" t="n">
        <v>38</v>
      </c>
      <c r="V475" s="18" t="n">
        <v>37</v>
      </c>
      <c r="W475" s="20" t="n"/>
      <c r="X475" s="20" t="n"/>
      <c r="Y475" s="20" t="n"/>
      <c r="Z475" s="20" t="n"/>
      <c r="AA475" s="20" t="n"/>
      <c r="AB475" s="20" t="n"/>
      <c r="AC475" s="21">
        <f>IF(W475="","",W475-K475)</f>
        <v/>
      </c>
      <c r="AD475" s="21">
        <f>IF(X475="","",X475-L475)</f>
        <v/>
      </c>
      <c r="AE475" s="21">
        <f>IF(Y475="","",Y475-M475)</f>
        <v/>
      </c>
      <c r="AF475" s="21">
        <f>IF(Z475="","",Z475-N475)</f>
        <v/>
      </c>
      <c r="AG475" s="21">
        <f>IF(AA475="","",AA475-O475)</f>
        <v/>
      </c>
      <c r="AH475" s="21">
        <f>IF(AB475="","",AB475-P475)</f>
        <v/>
      </c>
      <c r="AI475" s="18">
        <f>IF(COUNTA(W475:AB475)=0,"未入力",IF(COUNTA(W475:AB475)&lt;6,"一部入力",IF(COUNTIF(AC475:AH475,0)=6,"一致","差分あり")))</f>
        <v/>
      </c>
      <c r="AJ4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5" s="19" t="inlineStr"/>
      <c r="AL475" s="18" t="inlineStr">
        <is>
          <t>2026-06-29</t>
        </is>
      </c>
    </row>
    <row r="476" ht="22" customHeight="1">
      <c r="A476" s="17" t="inlineStr">
        <is>
          <t>1006106-LB4</t>
        </is>
      </c>
      <c r="B476" s="18" t="n">
        <v>1006106</v>
      </c>
      <c r="C476" s="17" t="inlineStr">
        <is>
          <t>IcOhshima06</t>
        </is>
      </c>
      <c r="D476" s="17" t="inlineStr">
        <is>
          <t>IcOhshima</t>
        </is>
      </c>
      <c r="E476" s="17" t="inlineStr">
        <is>
          <t>大島 一千子</t>
        </is>
      </c>
      <c r="F476" s="19" t="inlineStr">
        <is>
          <t>導きのルーセント</t>
        </is>
      </c>
      <c r="G476" s="18" t="inlineStr">
        <is>
          <t>SSR</t>
        </is>
      </c>
      <c r="H476" s="17" t="inlineStr">
        <is>
          <t>Debuffer</t>
        </is>
      </c>
      <c r="I476" s="18" t="n">
        <v>4</v>
      </c>
      <c r="J476" s="18" t="n">
        <v>4</v>
      </c>
      <c r="K476" s="18" t="n">
        <v>488</v>
      </c>
      <c r="L476" s="18" t="n">
        <v>480</v>
      </c>
      <c r="M476" s="18" t="n">
        <v>530</v>
      </c>
      <c r="N476" s="18" t="n">
        <v>508</v>
      </c>
      <c r="O476" s="18" t="n">
        <v>461</v>
      </c>
      <c r="P476" s="18" t="n">
        <v>453</v>
      </c>
      <c r="Q476" s="18" t="n">
        <v>49</v>
      </c>
      <c r="R476" s="18" t="n">
        <v>48</v>
      </c>
      <c r="S476" s="18" t="n">
        <v>53</v>
      </c>
      <c r="T476" s="18" t="n">
        <v>51</v>
      </c>
      <c r="U476" s="18" t="n">
        <v>47</v>
      </c>
      <c r="V476" s="18" t="n">
        <v>46</v>
      </c>
      <c r="W476" s="20" t="n"/>
      <c r="X476" s="20" t="n"/>
      <c r="Y476" s="20" t="n"/>
      <c r="Z476" s="20" t="n"/>
      <c r="AA476" s="20" t="n"/>
      <c r="AB476" s="20" t="n"/>
      <c r="AC476" s="21">
        <f>IF(W476="","",W476-K476)</f>
        <v/>
      </c>
      <c r="AD476" s="21">
        <f>IF(X476="","",X476-L476)</f>
        <v/>
      </c>
      <c r="AE476" s="21">
        <f>IF(Y476="","",Y476-M476)</f>
        <v/>
      </c>
      <c r="AF476" s="21">
        <f>IF(Z476="","",Z476-N476)</f>
        <v/>
      </c>
      <c r="AG476" s="21">
        <f>IF(AA476="","",AA476-O476)</f>
        <v/>
      </c>
      <c r="AH476" s="21">
        <f>IF(AB476="","",AB476-P476)</f>
        <v/>
      </c>
      <c r="AI476" s="18">
        <f>IF(COUNTA(W476:AB476)=0,"未入力",IF(COUNTA(W476:AB476)&lt;6,"一部入力",IF(COUNTIF(AC476:AH476,0)=6,"一致","差分あり")))</f>
        <v/>
      </c>
      <c r="AJ4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6" s="19" t="inlineStr"/>
      <c r="AL476" s="18" t="inlineStr">
        <is>
          <t>2026-06-29</t>
        </is>
      </c>
    </row>
    <row r="477" ht="22" customHeight="1">
      <c r="A477" s="17" t="inlineStr">
        <is>
          <t>1006201-LB0</t>
        </is>
      </c>
      <c r="B477" s="18" t="n">
        <v>1006201</v>
      </c>
      <c r="C477" s="17" t="inlineStr">
        <is>
          <t>NiOhshima01</t>
        </is>
      </c>
      <c r="D477" s="17" t="inlineStr">
        <is>
          <t>NiOhshima</t>
        </is>
      </c>
      <c r="E477" s="17" t="inlineStr">
        <is>
          <t>大島 二以奈</t>
        </is>
      </c>
      <c r="F477" s="19" t="inlineStr">
        <is>
          <t>二以奈の気品</t>
        </is>
      </c>
      <c r="G477" s="18" t="inlineStr">
        <is>
          <t>A</t>
        </is>
      </c>
      <c r="H477" s="17" t="inlineStr">
        <is>
          <t>Blaster</t>
        </is>
      </c>
      <c r="I477" s="18" t="n">
        <v>0</v>
      </c>
      <c r="J477" s="18" t="n">
        <v>20</v>
      </c>
      <c r="K477" s="18" t="n">
        <v>287</v>
      </c>
      <c r="L477" s="18" t="n">
        <v>277</v>
      </c>
      <c r="M477" s="18" t="n">
        <v>285</v>
      </c>
      <c r="N477" s="18" t="n">
        <v>289</v>
      </c>
      <c r="O477" s="18" t="n">
        <v>243</v>
      </c>
      <c r="P477" s="18" t="n">
        <v>251</v>
      </c>
      <c r="Q477" s="18" t="n">
        <v>29</v>
      </c>
      <c r="R477" s="18" t="n">
        <v>28</v>
      </c>
      <c r="S477" s="18" t="n">
        <v>29</v>
      </c>
      <c r="T477" s="18" t="n">
        <v>29</v>
      </c>
      <c r="U477" s="18" t="n">
        <v>25</v>
      </c>
      <c r="V477" s="18" t="n">
        <v>26</v>
      </c>
      <c r="W477" s="20" t="n"/>
      <c r="X477" s="20" t="n"/>
      <c r="Y477" s="20" t="n"/>
      <c r="Z477" s="20" t="n"/>
      <c r="AA477" s="20" t="n"/>
      <c r="AB477" s="20" t="n"/>
      <c r="AC477" s="21">
        <f>IF(W477="","",W477-K477)</f>
        <v/>
      </c>
      <c r="AD477" s="21">
        <f>IF(X477="","",X477-L477)</f>
        <v/>
      </c>
      <c r="AE477" s="21">
        <f>IF(Y477="","",Y477-M477)</f>
        <v/>
      </c>
      <c r="AF477" s="21">
        <f>IF(Z477="","",Z477-N477)</f>
        <v/>
      </c>
      <c r="AG477" s="21">
        <f>IF(AA477="","",AA477-O477)</f>
        <v/>
      </c>
      <c r="AH477" s="21">
        <f>IF(AB477="","",AB477-P477)</f>
        <v/>
      </c>
      <c r="AI477" s="18">
        <f>IF(COUNTA(W477:AB477)=0,"未入力",IF(COUNTA(W477:AB477)&lt;6,"一部入力",IF(COUNTIF(AC477:AH477,0)=6,"一致","差分あり")))</f>
        <v/>
      </c>
      <c r="AJ4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7" s="19" t="inlineStr"/>
      <c r="AL477" s="18" t="inlineStr">
        <is>
          <t>2026-06-29</t>
        </is>
      </c>
    </row>
    <row r="478" ht="22" customHeight="1">
      <c r="A478" s="17" t="inlineStr">
        <is>
          <t>1006201-LB20</t>
        </is>
      </c>
      <c r="B478" s="18" t="n">
        <v>1006201</v>
      </c>
      <c r="C478" s="17" t="inlineStr">
        <is>
          <t>NiOhshima01</t>
        </is>
      </c>
      <c r="D478" s="17" t="inlineStr">
        <is>
          <t>NiOhshima</t>
        </is>
      </c>
      <c r="E478" s="17" t="inlineStr">
        <is>
          <t>大島 二以奈</t>
        </is>
      </c>
      <c r="F478" s="19" t="inlineStr">
        <is>
          <t>二以奈の気品</t>
        </is>
      </c>
      <c r="G478" s="18" t="inlineStr">
        <is>
          <t>A</t>
        </is>
      </c>
      <c r="H478" s="17" t="inlineStr">
        <is>
          <t>Blaster</t>
        </is>
      </c>
      <c r="I478" s="18" t="n">
        <v>20</v>
      </c>
      <c r="J478" s="18" t="n">
        <v>20</v>
      </c>
      <c r="K478" s="18" t="n">
        <v>332</v>
      </c>
      <c r="L478" s="18" t="n">
        <v>320</v>
      </c>
      <c r="M478" s="18" t="n">
        <v>329</v>
      </c>
      <c r="N478" s="18" t="n">
        <v>332</v>
      </c>
      <c r="O478" s="18" t="n">
        <v>286</v>
      </c>
      <c r="P478" s="18" t="n">
        <v>295</v>
      </c>
      <c r="Q478" s="18" t="n">
        <v>34</v>
      </c>
      <c r="R478" s="18" t="n">
        <v>32</v>
      </c>
      <c r="S478" s="18" t="n">
        <v>33</v>
      </c>
      <c r="T478" s="18" t="n">
        <v>34</v>
      </c>
      <c r="U478" s="18" t="n">
        <v>29</v>
      </c>
      <c r="V478" s="18" t="n">
        <v>30</v>
      </c>
      <c r="W478" s="20" t="n"/>
      <c r="X478" s="20" t="n"/>
      <c r="Y478" s="20" t="n"/>
      <c r="Z478" s="20" t="n"/>
      <c r="AA478" s="20" t="n"/>
      <c r="AB478" s="20" t="n"/>
      <c r="AC478" s="21">
        <f>IF(W478="","",W478-K478)</f>
        <v/>
      </c>
      <c r="AD478" s="21">
        <f>IF(X478="","",X478-L478)</f>
        <v/>
      </c>
      <c r="AE478" s="21">
        <f>IF(Y478="","",Y478-M478)</f>
        <v/>
      </c>
      <c r="AF478" s="21">
        <f>IF(Z478="","",Z478-N478)</f>
        <v/>
      </c>
      <c r="AG478" s="21">
        <f>IF(AA478="","",AA478-O478)</f>
        <v/>
      </c>
      <c r="AH478" s="21">
        <f>IF(AB478="","",AB478-P478)</f>
        <v/>
      </c>
      <c r="AI478" s="18">
        <f>IF(COUNTA(W478:AB478)=0,"未入力",IF(COUNTA(W478:AB478)&lt;6,"一部入力",IF(COUNTIF(AC478:AH478,0)=6,"一致","差分あり")))</f>
        <v/>
      </c>
      <c r="AJ4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8" s="19" t="inlineStr"/>
      <c r="AL478" s="18" t="inlineStr">
        <is>
          <t>2026-06-29</t>
        </is>
      </c>
    </row>
    <row r="479" ht="22" customHeight="1">
      <c r="A479" s="17" t="inlineStr">
        <is>
          <t>1006202-LB0</t>
        </is>
      </c>
      <c r="B479" s="18" t="n">
        <v>1006202</v>
      </c>
      <c r="C479" s="17" t="inlineStr">
        <is>
          <t>NiOhshima02</t>
        </is>
      </c>
      <c r="D479" s="17" t="inlineStr">
        <is>
          <t>NiOhshima</t>
        </is>
      </c>
      <c r="E479" s="17" t="inlineStr">
        <is>
          <t>大島 二以奈</t>
        </is>
      </c>
      <c r="F479" s="19" t="inlineStr">
        <is>
          <t>戦線キャットウォーク</t>
        </is>
      </c>
      <c r="G479" s="18" t="inlineStr">
        <is>
          <t>S</t>
        </is>
      </c>
      <c r="H479" s="17" t="inlineStr">
        <is>
          <t>Blaster</t>
        </is>
      </c>
      <c r="I479" s="18" t="n">
        <v>0</v>
      </c>
      <c r="J479" s="18" t="n">
        <v>10</v>
      </c>
      <c r="K479" s="18" t="n">
        <v>356</v>
      </c>
      <c r="L479" s="18" t="n">
        <v>304</v>
      </c>
      <c r="M479" s="18" t="n">
        <v>302</v>
      </c>
      <c r="N479" s="18" t="n">
        <v>316</v>
      </c>
      <c r="O479" s="18" t="n">
        <v>313</v>
      </c>
      <c r="P479" s="18" t="n">
        <v>356</v>
      </c>
      <c r="Q479" s="18" t="n">
        <v>36</v>
      </c>
      <c r="R479" s="18" t="n">
        <v>31</v>
      </c>
      <c r="S479" s="18" t="n">
        <v>31</v>
      </c>
      <c r="T479" s="18" t="n">
        <v>32</v>
      </c>
      <c r="U479" s="18" t="n">
        <v>32</v>
      </c>
      <c r="V479" s="18" t="n">
        <v>36</v>
      </c>
      <c r="W479" s="20" t="n"/>
      <c r="X479" s="20" t="n"/>
      <c r="Y479" s="20" t="n"/>
      <c r="Z479" s="20" t="n"/>
      <c r="AA479" s="20" t="n"/>
      <c r="AB479" s="20" t="n"/>
      <c r="AC479" s="21">
        <f>IF(W479="","",W479-K479)</f>
        <v/>
      </c>
      <c r="AD479" s="21">
        <f>IF(X479="","",X479-L479)</f>
        <v/>
      </c>
      <c r="AE479" s="21">
        <f>IF(Y479="","",Y479-M479)</f>
        <v/>
      </c>
      <c r="AF479" s="21">
        <f>IF(Z479="","",Z479-N479)</f>
        <v/>
      </c>
      <c r="AG479" s="21">
        <f>IF(AA479="","",AA479-O479)</f>
        <v/>
      </c>
      <c r="AH479" s="21">
        <f>IF(AB479="","",AB479-P479)</f>
        <v/>
      </c>
      <c r="AI479" s="18">
        <f>IF(COUNTA(W479:AB479)=0,"未入力",IF(COUNTA(W479:AB479)&lt;6,"一部入力",IF(COUNTIF(AC479:AH479,0)=6,"一致","差分あり")))</f>
        <v/>
      </c>
      <c r="AJ4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79" s="19" t="inlineStr"/>
      <c r="AL479" s="18" t="inlineStr">
        <is>
          <t>2026-06-29</t>
        </is>
      </c>
    </row>
    <row r="480" ht="22" customHeight="1">
      <c r="A480" s="17" t="inlineStr">
        <is>
          <t>1006202-LB10</t>
        </is>
      </c>
      <c r="B480" s="18" t="n">
        <v>1006202</v>
      </c>
      <c r="C480" s="17" t="inlineStr">
        <is>
          <t>NiOhshima02</t>
        </is>
      </c>
      <c r="D480" s="17" t="inlineStr">
        <is>
          <t>NiOhshima</t>
        </is>
      </c>
      <c r="E480" s="17" t="inlineStr">
        <is>
          <t>大島 二以奈</t>
        </is>
      </c>
      <c r="F480" s="19" t="inlineStr">
        <is>
          <t>戦線キャットウォーク</t>
        </is>
      </c>
      <c r="G480" s="18" t="inlineStr">
        <is>
          <t>S</t>
        </is>
      </c>
      <c r="H480" s="17" t="inlineStr">
        <is>
          <t>Blaster</t>
        </is>
      </c>
      <c r="I480" s="18" t="n">
        <v>10</v>
      </c>
      <c r="J480" s="18" t="n">
        <v>10</v>
      </c>
      <c r="K480" s="18" t="n">
        <v>426</v>
      </c>
      <c r="L480" s="18" t="n">
        <v>369</v>
      </c>
      <c r="M480" s="18" t="n">
        <v>367</v>
      </c>
      <c r="N480" s="18" t="n">
        <v>381</v>
      </c>
      <c r="O480" s="18" t="n">
        <v>378</v>
      </c>
      <c r="P480" s="18" t="n">
        <v>423</v>
      </c>
      <c r="Q480" s="18" t="n">
        <v>43</v>
      </c>
      <c r="R480" s="18" t="n">
        <v>37</v>
      </c>
      <c r="S480" s="18" t="n">
        <v>37</v>
      </c>
      <c r="T480" s="18" t="n">
        <v>39</v>
      </c>
      <c r="U480" s="18" t="n">
        <v>38</v>
      </c>
      <c r="V480" s="18" t="n">
        <v>43</v>
      </c>
      <c r="W480" s="20" t="n"/>
      <c r="X480" s="20" t="n"/>
      <c r="Y480" s="20" t="n"/>
      <c r="Z480" s="20" t="n"/>
      <c r="AA480" s="20" t="n"/>
      <c r="AB480" s="20" t="n"/>
      <c r="AC480" s="21">
        <f>IF(W480="","",W480-K480)</f>
        <v/>
      </c>
      <c r="AD480" s="21">
        <f>IF(X480="","",X480-L480)</f>
        <v/>
      </c>
      <c r="AE480" s="21">
        <f>IF(Y480="","",Y480-M480)</f>
        <v/>
      </c>
      <c r="AF480" s="21">
        <f>IF(Z480="","",Z480-N480)</f>
        <v/>
      </c>
      <c r="AG480" s="21">
        <f>IF(AA480="","",AA480-O480)</f>
        <v/>
      </c>
      <c r="AH480" s="21">
        <f>IF(AB480="","",AB480-P480)</f>
        <v/>
      </c>
      <c r="AI480" s="18">
        <f>IF(COUNTA(W480:AB480)=0,"未入力",IF(COUNTA(W480:AB480)&lt;6,"一部入力",IF(COUNTIF(AC480:AH480,0)=6,"一致","差分あり")))</f>
        <v/>
      </c>
      <c r="AJ4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0" s="19" t="inlineStr"/>
      <c r="AL480" s="18" t="inlineStr">
        <is>
          <t>2026-06-29</t>
        </is>
      </c>
    </row>
    <row r="481" ht="22" customHeight="1">
      <c r="A481" s="17" t="inlineStr">
        <is>
          <t>1006203-LB0</t>
        </is>
      </c>
      <c r="B481" s="18" t="n">
        <v>1006203</v>
      </c>
      <c r="C481" s="17" t="inlineStr">
        <is>
          <t>NiOhshima03</t>
        </is>
      </c>
      <c r="D481" s="17" t="inlineStr">
        <is>
          <t>NiOhshima</t>
        </is>
      </c>
      <c r="E481" s="17" t="inlineStr">
        <is>
          <t>大島 二以奈</t>
        </is>
      </c>
      <c r="F481" s="19" t="inlineStr">
        <is>
          <t>Brand New Mind</t>
        </is>
      </c>
      <c r="G481" s="18" t="inlineStr">
        <is>
          <t>SS</t>
        </is>
      </c>
      <c r="H481" s="17" t="inlineStr">
        <is>
          <t>Blaster</t>
        </is>
      </c>
      <c r="I481" s="18" t="n">
        <v>0</v>
      </c>
      <c r="J481" s="18" t="n">
        <v>4</v>
      </c>
      <c r="K481" s="18" t="n">
        <v>350</v>
      </c>
      <c r="L481" s="18" t="n">
        <v>408</v>
      </c>
      <c r="M481" s="18" t="n">
        <v>372</v>
      </c>
      <c r="N481" s="18" t="n">
        <v>362</v>
      </c>
      <c r="O481" s="18" t="n">
        <v>385</v>
      </c>
      <c r="P481" s="18" t="n">
        <v>383</v>
      </c>
      <c r="Q481" s="18" t="n">
        <v>35</v>
      </c>
      <c r="R481" s="18" t="n">
        <v>41</v>
      </c>
      <c r="S481" s="18" t="n">
        <v>38</v>
      </c>
      <c r="T481" s="18" t="n">
        <v>37</v>
      </c>
      <c r="U481" s="18" t="n">
        <v>39</v>
      </c>
      <c r="V481" s="18" t="n">
        <v>39</v>
      </c>
      <c r="W481" s="20" t="n"/>
      <c r="X481" s="20" t="n"/>
      <c r="Y481" s="20" t="n"/>
      <c r="Z481" s="20" t="n"/>
      <c r="AA481" s="20" t="n"/>
      <c r="AB481" s="20" t="n"/>
      <c r="AC481" s="21">
        <f>IF(W481="","",W481-K481)</f>
        <v/>
      </c>
      <c r="AD481" s="21">
        <f>IF(X481="","",X481-L481)</f>
        <v/>
      </c>
      <c r="AE481" s="21">
        <f>IF(Y481="","",Y481-M481)</f>
        <v/>
      </c>
      <c r="AF481" s="21">
        <f>IF(Z481="","",Z481-N481)</f>
        <v/>
      </c>
      <c r="AG481" s="21">
        <f>IF(AA481="","",AA481-O481)</f>
        <v/>
      </c>
      <c r="AH481" s="21">
        <f>IF(AB481="","",AB481-P481)</f>
        <v/>
      </c>
      <c r="AI481" s="18">
        <f>IF(COUNTA(W481:AB481)=0,"未入力",IF(COUNTA(W481:AB481)&lt;6,"一部入力",IF(COUNTIF(AC481:AH481,0)=6,"一致","差分あり")))</f>
        <v/>
      </c>
      <c r="AJ4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1" s="19" t="inlineStr"/>
      <c r="AL481" s="18" t="inlineStr">
        <is>
          <t>2026-06-29</t>
        </is>
      </c>
    </row>
    <row r="482" ht="22" customHeight="1">
      <c r="A482" s="17" t="inlineStr">
        <is>
          <t>1006203-LB4</t>
        </is>
      </c>
      <c r="B482" s="18" t="n">
        <v>1006203</v>
      </c>
      <c r="C482" s="17" t="inlineStr">
        <is>
          <t>NiOhshima03</t>
        </is>
      </c>
      <c r="D482" s="17" t="inlineStr">
        <is>
          <t>NiOhshima</t>
        </is>
      </c>
      <c r="E482" s="17" t="inlineStr">
        <is>
          <t>大島 二以奈</t>
        </is>
      </c>
      <c r="F482" s="19" t="inlineStr">
        <is>
          <t>Brand New Mind</t>
        </is>
      </c>
      <c r="G482" s="18" t="inlineStr">
        <is>
          <t>SS</t>
        </is>
      </c>
      <c r="H482" s="17" t="inlineStr">
        <is>
          <t>Blaster</t>
        </is>
      </c>
      <c r="I482" s="18" t="n">
        <v>4</v>
      </c>
      <c r="J482" s="18" t="n">
        <v>4</v>
      </c>
      <c r="K482" s="18" t="n">
        <v>440</v>
      </c>
      <c r="L482" s="18" t="n">
        <v>495</v>
      </c>
      <c r="M482" s="18" t="n">
        <v>459</v>
      </c>
      <c r="N482" s="18" t="n">
        <v>450</v>
      </c>
      <c r="O482" s="18" t="n">
        <v>471</v>
      </c>
      <c r="P482" s="18" t="n">
        <v>472</v>
      </c>
      <c r="Q482" s="18" t="n">
        <v>44</v>
      </c>
      <c r="R482" s="18" t="n">
        <v>50</v>
      </c>
      <c r="S482" s="18" t="n">
        <v>46</v>
      </c>
      <c r="T482" s="18" t="n">
        <v>45</v>
      </c>
      <c r="U482" s="18" t="n">
        <v>48</v>
      </c>
      <c r="V482" s="18" t="n">
        <v>48</v>
      </c>
      <c r="W482" s="20" t="n"/>
      <c r="X482" s="20" t="n"/>
      <c r="Y482" s="20" t="n"/>
      <c r="Z482" s="20" t="n"/>
      <c r="AA482" s="20" t="n"/>
      <c r="AB482" s="20" t="n"/>
      <c r="AC482" s="21">
        <f>IF(W482="","",W482-K482)</f>
        <v/>
      </c>
      <c r="AD482" s="21">
        <f>IF(X482="","",X482-L482)</f>
        <v/>
      </c>
      <c r="AE482" s="21">
        <f>IF(Y482="","",Y482-M482)</f>
        <v/>
      </c>
      <c r="AF482" s="21">
        <f>IF(Z482="","",Z482-N482)</f>
        <v/>
      </c>
      <c r="AG482" s="21">
        <f>IF(AA482="","",AA482-O482)</f>
        <v/>
      </c>
      <c r="AH482" s="21">
        <f>IF(AB482="","",AB482-P482)</f>
        <v/>
      </c>
      <c r="AI482" s="18">
        <f>IF(COUNTA(W482:AB482)=0,"未入力",IF(COUNTA(W482:AB482)&lt;6,"一部入力",IF(COUNTIF(AC482:AH482,0)=6,"一致","差分あり")))</f>
        <v/>
      </c>
      <c r="AJ4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2" s="19" t="inlineStr"/>
      <c r="AL482" s="18" t="inlineStr">
        <is>
          <t>2026-06-29</t>
        </is>
      </c>
    </row>
    <row r="483" ht="22" customHeight="1">
      <c r="A483" s="17" t="inlineStr">
        <is>
          <t>1006204-LB0</t>
        </is>
      </c>
      <c r="B483" s="18" t="n">
        <v>1006204</v>
      </c>
      <c r="C483" s="17" t="inlineStr">
        <is>
          <t>NiOhshima04</t>
        </is>
      </c>
      <c r="D483" s="17" t="inlineStr">
        <is>
          <t>NiOhshima</t>
        </is>
      </c>
      <c r="E483" s="17" t="inlineStr">
        <is>
          <t>大島 二以奈</t>
        </is>
      </c>
      <c r="F483" s="19" t="inlineStr">
        <is>
          <t>戸惑いの波際</t>
        </is>
      </c>
      <c r="G483" s="18" t="inlineStr">
        <is>
          <t>S</t>
        </is>
      </c>
      <c r="H483" s="17" t="inlineStr">
        <is>
          <t>Blaster</t>
        </is>
      </c>
      <c r="I483" s="18" t="n">
        <v>0</v>
      </c>
      <c r="J483" s="18" t="n">
        <v>10</v>
      </c>
      <c r="K483" s="18" t="n">
        <v>325</v>
      </c>
      <c r="L483" s="18" t="n">
        <v>314</v>
      </c>
      <c r="M483" s="18" t="n">
        <v>345</v>
      </c>
      <c r="N483" s="18" t="n">
        <v>348</v>
      </c>
      <c r="O483" s="18" t="n">
        <v>302</v>
      </c>
      <c r="P483" s="18" t="n">
        <v>311</v>
      </c>
      <c r="Q483" s="18" t="n">
        <v>33</v>
      </c>
      <c r="R483" s="18" t="n">
        <v>32</v>
      </c>
      <c r="S483" s="18" t="n">
        <v>35</v>
      </c>
      <c r="T483" s="18" t="n">
        <v>35</v>
      </c>
      <c r="U483" s="18" t="n">
        <v>31</v>
      </c>
      <c r="V483" s="18" t="n">
        <v>32</v>
      </c>
      <c r="W483" s="20" t="n"/>
      <c r="X483" s="20" t="n"/>
      <c r="Y483" s="20" t="n"/>
      <c r="Z483" s="20" t="n"/>
      <c r="AA483" s="20" t="n"/>
      <c r="AB483" s="20" t="n"/>
      <c r="AC483" s="21">
        <f>IF(W483="","",W483-K483)</f>
        <v/>
      </c>
      <c r="AD483" s="21">
        <f>IF(X483="","",X483-L483)</f>
        <v/>
      </c>
      <c r="AE483" s="21">
        <f>IF(Y483="","",Y483-M483)</f>
        <v/>
      </c>
      <c r="AF483" s="21">
        <f>IF(Z483="","",Z483-N483)</f>
        <v/>
      </c>
      <c r="AG483" s="21">
        <f>IF(AA483="","",AA483-O483)</f>
        <v/>
      </c>
      <c r="AH483" s="21">
        <f>IF(AB483="","",AB483-P483)</f>
        <v/>
      </c>
      <c r="AI483" s="18">
        <f>IF(COUNTA(W483:AB483)=0,"未入力",IF(COUNTA(W483:AB483)&lt;6,"一部入力",IF(COUNTIF(AC483:AH483,0)=6,"一致","差分あり")))</f>
        <v/>
      </c>
      <c r="AJ4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3" s="19" t="inlineStr"/>
      <c r="AL483" s="18" t="inlineStr">
        <is>
          <t>2026-06-29</t>
        </is>
      </c>
    </row>
    <row r="484" ht="22" customHeight="1">
      <c r="A484" s="17" t="inlineStr">
        <is>
          <t>1006204-LB10</t>
        </is>
      </c>
      <c r="B484" s="18" t="n">
        <v>1006204</v>
      </c>
      <c r="C484" s="17" t="inlineStr">
        <is>
          <t>NiOhshima04</t>
        </is>
      </c>
      <c r="D484" s="17" t="inlineStr">
        <is>
          <t>NiOhshima</t>
        </is>
      </c>
      <c r="E484" s="17" t="inlineStr">
        <is>
          <t>大島 二以奈</t>
        </is>
      </c>
      <c r="F484" s="19" t="inlineStr">
        <is>
          <t>戸惑いの波際</t>
        </is>
      </c>
      <c r="G484" s="18" t="inlineStr">
        <is>
          <t>S</t>
        </is>
      </c>
      <c r="H484" s="17" t="inlineStr">
        <is>
          <t>Blaster</t>
        </is>
      </c>
      <c r="I484" s="18" t="n">
        <v>10</v>
      </c>
      <c r="J484" s="18" t="n">
        <v>10</v>
      </c>
      <c r="K484" s="18" t="n">
        <v>393</v>
      </c>
      <c r="L484" s="18" t="n">
        <v>380</v>
      </c>
      <c r="M484" s="18" t="n">
        <v>410</v>
      </c>
      <c r="N484" s="18" t="n">
        <v>414</v>
      </c>
      <c r="O484" s="18" t="n">
        <v>367</v>
      </c>
      <c r="P484" s="18" t="n">
        <v>378</v>
      </c>
      <c r="Q484" s="18" t="n">
        <v>40</v>
      </c>
      <c r="R484" s="18" t="n">
        <v>38</v>
      </c>
      <c r="S484" s="18" t="n">
        <v>41</v>
      </c>
      <c r="T484" s="18" t="n">
        <v>42</v>
      </c>
      <c r="U484" s="18" t="n">
        <v>37</v>
      </c>
      <c r="V484" s="18" t="n">
        <v>38</v>
      </c>
      <c r="W484" s="20" t="n"/>
      <c r="X484" s="20" t="n"/>
      <c r="Y484" s="20" t="n"/>
      <c r="Z484" s="20" t="n"/>
      <c r="AA484" s="20" t="n"/>
      <c r="AB484" s="20" t="n"/>
      <c r="AC484" s="21">
        <f>IF(W484="","",W484-K484)</f>
        <v/>
      </c>
      <c r="AD484" s="21">
        <f>IF(X484="","",X484-L484)</f>
        <v/>
      </c>
      <c r="AE484" s="21">
        <f>IF(Y484="","",Y484-M484)</f>
        <v/>
      </c>
      <c r="AF484" s="21">
        <f>IF(Z484="","",Z484-N484)</f>
        <v/>
      </c>
      <c r="AG484" s="21">
        <f>IF(AA484="","",AA484-O484)</f>
        <v/>
      </c>
      <c r="AH484" s="21">
        <f>IF(AB484="","",AB484-P484)</f>
        <v/>
      </c>
      <c r="AI484" s="18">
        <f>IF(COUNTA(W484:AB484)=0,"未入力",IF(COUNTA(W484:AB484)&lt;6,"一部入力",IF(COUNTIF(AC484:AH484,0)=6,"一致","差分あり")))</f>
        <v/>
      </c>
      <c r="AJ4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4" s="19" t="inlineStr"/>
      <c r="AL484" s="18" t="inlineStr">
        <is>
          <t>2026-06-29</t>
        </is>
      </c>
    </row>
    <row r="485" ht="22" customHeight="1">
      <c r="A485" s="17" t="inlineStr">
        <is>
          <t>1006205-LB0</t>
        </is>
      </c>
      <c r="B485" s="18" t="n">
        <v>1006205</v>
      </c>
      <c r="C485" s="17" t="inlineStr">
        <is>
          <t>NiOhshima05</t>
        </is>
      </c>
      <c r="D485" s="17" t="inlineStr">
        <is>
          <t>NiOhshima</t>
        </is>
      </c>
      <c r="E485" s="17" t="inlineStr">
        <is>
          <t>大島 二以奈</t>
        </is>
      </c>
      <c r="F485" s="19" t="inlineStr">
        <is>
          <t>心緒、昂る温泉郷</t>
        </is>
      </c>
      <c r="G485" s="18" t="inlineStr">
        <is>
          <t>SS</t>
        </is>
      </c>
      <c r="H485" s="17" t="inlineStr">
        <is>
          <t>Attacker</t>
        </is>
      </c>
      <c r="I485" s="18" t="n">
        <v>0</v>
      </c>
      <c r="J485" s="18" t="n">
        <v>4</v>
      </c>
      <c r="K485" s="18" t="n">
        <v>444</v>
      </c>
      <c r="L485" s="18" t="n">
        <v>361</v>
      </c>
      <c r="M485" s="18" t="n">
        <v>381</v>
      </c>
      <c r="N485" s="18" t="n">
        <v>397</v>
      </c>
      <c r="O485" s="18" t="n">
        <v>394</v>
      </c>
      <c r="P485" s="18" t="n">
        <v>419</v>
      </c>
      <c r="Q485" s="18" t="n">
        <v>45</v>
      </c>
      <c r="R485" s="18" t="n">
        <v>37</v>
      </c>
      <c r="S485" s="18" t="n">
        <v>39</v>
      </c>
      <c r="T485" s="18" t="n">
        <v>40</v>
      </c>
      <c r="U485" s="18" t="n">
        <v>40</v>
      </c>
      <c r="V485" s="18" t="n">
        <v>42</v>
      </c>
      <c r="W485" s="20" t="n"/>
      <c r="X485" s="20" t="n"/>
      <c r="Y485" s="20" t="n"/>
      <c r="Z485" s="20" t="n"/>
      <c r="AA485" s="20" t="n"/>
      <c r="AB485" s="20" t="n"/>
      <c r="AC485" s="21">
        <f>IF(W485="","",W485-K485)</f>
        <v/>
      </c>
      <c r="AD485" s="21">
        <f>IF(X485="","",X485-L485)</f>
        <v/>
      </c>
      <c r="AE485" s="21">
        <f>IF(Y485="","",Y485-M485)</f>
        <v/>
      </c>
      <c r="AF485" s="21">
        <f>IF(Z485="","",Z485-N485)</f>
        <v/>
      </c>
      <c r="AG485" s="21">
        <f>IF(AA485="","",AA485-O485)</f>
        <v/>
      </c>
      <c r="AH485" s="21">
        <f>IF(AB485="","",AB485-P485)</f>
        <v/>
      </c>
      <c r="AI485" s="18">
        <f>IF(COUNTA(W485:AB485)=0,"未入力",IF(COUNTA(W485:AB485)&lt;6,"一部入力",IF(COUNTIF(AC485:AH485,0)=6,"一致","差分あり")))</f>
        <v/>
      </c>
      <c r="AJ4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5" s="19" t="inlineStr"/>
      <c r="AL485" s="18" t="inlineStr">
        <is>
          <t>2026-06-29</t>
        </is>
      </c>
    </row>
    <row r="486" ht="22" customHeight="1">
      <c r="A486" s="17" t="inlineStr">
        <is>
          <t>1006205-LB4</t>
        </is>
      </c>
      <c r="B486" s="18" t="n">
        <v>1006205</v>
      </c>
      <c r="C486" s="17" t="inlineStr">
        <is>
          <t>NiOhshima05</t>
        </is>
      </c>
      <c r="D486" s="17" t="inlineStr">
        <is>
          <t>NiOhshima</t>
        </is>
      </c>
      <c r="E486" s="17" t="inlineStr">
        <is>
          <t>大島 二以奈</t>
        </is>
      </c>
      <c r="F486" s="19" t="inlineStr">
        <is>
          <t>心緒、昂る温泉郷</t>
        </is>
      </c>
      <c r="G486" s="18" t="inlineStr">
        <is>
          <t>SS</t>
        </is>
      </c>
      <c r="H486" s="17" t="inlineStr">
        <is>
          <t>Attacker</t>
        </is>
      </c>
      <c r="I486" s="18" t="n">
        <v>4</v>
      </c>
      <c r="J486" s="18" t="n">
        <v>4</v>
      </c>
      <c r="K486" s="18" t="n">
        <v>534</v>
      </c>
      <c r="L486" s="18" t="n">
        <v>448</v>
      </c>
      <c r="M486" s="18" t="n">
        <v>467</v>
      </c>
      <c r="N486" s="18" t="n">
        <v>484</v>
      </c>
      <c r="O486" s="18" t="n">
        <v>480</v>
      </c>
      <c r="P486" s="18" t="n">
        <v>508</v>
      </c>
      <c r="Q486" s="18" t="n">
        <v>54</v>
      </c>
      <c r="R486" s="18" t="n">
        <v>45</v>
      </c>
      <c r="S486" s="18" t="n">
        <v>47</v>
      </c>
      <c r="T486" s="18" t="n">
        <v>49</v>
      </c>
      <c r="U486" s="18" t="n">
        <v>48</v>
      </c>
      <c r="V486" s="18" t="n">
        <v>51</v>
      </c>
      <c r="W486" s="20" t="n"/>
      <c r="X486" s="20" t="n"/>
      <c r="Y486" s="20" t="n"/>
      <c r="Z486" s="20" t="n"/>
      <c r="AA486" s="20" t="n"/>
      <c r="AB486" s="20" t="n"/>
      <c r="AC486" s="21">
        <f>IF(W486="","",W486-K486)</f>
        <v/>
      </c>
      <c r="AD486" s="21">
        <f>IF(X486="","",X486-L486)</f>
        <v/>
      </c>
      <c r="AE486" s="21">
        <f>IF(Y486="","",Y486-M486)</f>
        <v/>
      </c>
      <c r="AF486" s="21">
        <f>IF(Z486="","",Z486-N486)</f>
        <v/>
      </c>
      <c r="AG486" s="21">
        <f>IF(AA486="","",AA486-O486)</f>
        <v/>
      </c>
      <c r="AH486" s="21">
        <f>IF(AB486="","",AB486-P486)</f>
        <v/>
      </c>
      <c r="AI486" s="18">
        <f>IF(COUNTA(W486:AB486)=0,"未入力",IF(COUNTA(W486:AB486)&lt;6,"一部入力",IF(COUNTIF(AC486:AH486,0)=6,"一致","差分あり")))</f>
        <v/>
      </c>
      <c r="AJ4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6" s="19" t="inlineStr"/>
      <c r="AL486" s="18" t="inlineStr">
        <is>
          <t>2026-06-29</t>
        </is>
      </c>
    </row>
    <row r="487" ht="22" customHeight="1">
      <c r="A487" s="17" t="inlineStr">
        <is>
          <t>1006206-LB0</t>
        </is>
      </c>
      <c r="B487" s="18" t="n">
        <v>1006206</v>
      </c>
      <c r="C487" s="17" t="inlineStr">
        <is>
          <t>NiOhshima06</t>
        </is>
      </c>
      <c r="D487" s="17" t="inlineStr">
        <is>
          <t>NiOhshima</t>
        </is>
      </c>
      <c r="E487" s="17" t="inlineStr">
        <is>
          <t>大島 二以奈</t>
        </is>
      </c>
      <c r="F487" s="19" t="inlineStr">
        <is>
          <t>渚のピュアメモリー</t>
        </is>
      </c>
      <c r="G487" s="18" t="inlineStr">
        <is>
          <t>SS</t>
        </is>
      </c>
      <c r="H487" s="17" t="inlineStr">
        <is>
          <t>Attacker</t>
        </is>
      </c>
      <c r="I487" s="18" t="n">
        <v>0</v>
      </c>
      <c r="J487" s="18" t="n">
        <v>4</v>
      </c>
      <c r="K487" s="18" t="n">
        <v>444</v>
      </c>
      <c r="L487" s="18" t="n">
        <v>361</v>
      </c>
      <c r="M487" s="18" t="n">
        <v>381</v>
      </c>
      <c r="N487" s="18" t="n">
        <v>397</v>
      </c>
      <c r="O487" s="18" t="n">
        <v>394</v>
      </c>
      <c r="P487" s="18" t="n">
        <v>419</v>
      </c>
      <c r="Q487" s="18" t="n">
        <v>45</v>
      </c>
      <c r="R487" s="18" t="n">
        <v>37</v>
      </c>
      <c r="S487" s="18" t="n">
        <v>39</v>
      </c>
      <c r="T487" s="18" t="n">
        <v>40</v>
      </c>
      <c r="U487" s="18" t="n">
        <v>40</v>
      </c>
      <c r="V487" s="18" t="n">
        <v>42</v>
      </c>
      <c r="W487" s="20" t="n"/>
      <c r="X487" s="20" t="n"/>
      <c r="Y487" s="20" t="n"/>
      <c r="Z487" s="20" t="n"/>
      <c r="AA487" s="20" t="n"/>
      <c r="AB487" s="20" t="n"/>
      <c r="AC487" s="21">
        <f>IF(W487="","",W487-K487)</f>
        <v/>
      </c>
      <c r="AD487" s="21">
        <f>IF(X487="","",X487-L487)</f>
        <v/>
      </c>
      <c r="AE487" s="21">
        <f>IF(Y487="","",Y487-M487)</f>
        <v/>
      </c>
      <c r="AF487" s="21">
        <f>IF(Z487="","",Z487-N487)</f>
        <v/>
      </c>
      <c r="AG487" s="21">
        <f>IF(AA487="","",AA487-O487)</f>
        <v/>
      </c>
      <c r="AH487" s="21">
        <f>IF(AB487="","",AB487-P487)</f>
        <v/>
      </c>
      <c r="AI487" s="18">
        <f>IF(COUNTA(W487:AB487)=0,"未入力",IF(COUNTA(W487:AB487)&lt;6,"一部入力",IF(COUNTIF(AC487:AH487,0)=6,"一致","差分あり")))</f>
        <v/>
      </c>
      <c r="AJ4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7" s="19" t="inlineStr"/>
      <c r="AL487" s="18" t="inlineStr">
        <is>
          <t>2026-06-29</t>
        </is>
      </c>
    </row>
    <row r="488" ht="22" customHeight="1">
      <c r="A488" s="17" t="inlineStr">
        <is>
          <t>1006206-LB4</t>
        </is>
      </c>
      <c r="B488" s="18" t="n">
        <v>1006206</v>
      </c>
      <c r="C488" s="17" t="inlineStr">
        <is>
          <t>NiOhshima06</t>
        </is>
      </c>
      <c r="D488" s="17" t="inlineStr">
        <is>
          <t>NiOhshima</t>
        </is>
      </c>
      <c r="E488" s="17" t="inlineStr">
        <is>
          <t>大島 二以奈</t>
        </is>
      </c>
      <c r="F488" s="19" t="inlineStr">
        <is>
          <t>渚のピュアメモリー</t>
        </is>
      </c>
      <c r="G488" s="18" t="inlineStr">
        <is>
          <t>SS</t>
        </is>
      </c>
      <c r="H488" s="17" t="inlineStr">
        <is>
          <t>Attacker</t>
        </is>
      </c>
      <c r="I488" s="18" t="n">
        <v>4</v>
      </c>
      <c r="J488" s="18" t="n">
        <v>4</v>
      </c>
      <c r="K488" s="18" t="n">
        <v>534</v>
      </c>
      <c r="L488" s="18" t="n">
        <v>448</v>
      </c>
      <c r="M488" s="18" t="n">
        <v>467</v>
      </c>
      <c r="N488" s="18" t="n">
        <v>484</v>
      </c>
      <c r="O488" s="18" t="n">
        <v>480</v>
      </c>
      <c r="P488" s="18" t="n">
        <v>508</v>
      </c>
      <c r="Q488" s="18" t="n">
        <v>54</v>
      </c>
      <c r="R488" s="18" t="n">
        <v>45</v>
      </c>
      <c r="S488" s="18" t="n">
        <v>47</v>
      </c>
      <c r="T488" s="18" t="n">
        <v>49</v>
      </c>
      <c r="U488" s="18" t="n">
        <v>48</v>
      </c>
      <c r="V488" s="18" t="n">
        <v>51</v>
      </c>
      <c r="W488" s="20" t="n"/>
      <c r="X488" s="20" t="n"/>
      <c r="Y488" s="20" t="n"/>
      <c r="Z488" s="20" t="n"/>
      <c r="AA488" s="20" t="n"/>
      <c r="AB488" s="20" t="n"/>
      <c r="AC488" s="21">
        <f>IF(W488="","",W488-K488)</f>
        <v/>
      </c>
      <c r="AD488" s="21">
        <f>IF(X488="","",X488-L488)</f>
        <v/>
      </c>
      <c r="AE488" s="21">
        <f>IF(Y488="","",Y488-M488)</f>
        <v/>
      </c>
      <c r="AF488" s="21">
        <f>IF(Z488="","",Z488-N488)</f>
        <v/>
      </c>
      <c r="AG488" s="21">
        <f>IF(AA488="","",AA488-O488)</f>
        <v/>
      </c>
      <c r="AH488" s="21">
        <f>IF(AB488="","",AB488-P488)</f>
        <v/>
      </c>
      <c r="AI488" s="18">
        <f>IF(COUNTA(W488:AB488)=0,"未入力",IF(COUNTA(W488:AB488)&lt;6,"一部入力",IF(COUNTIF(AC488:AH488,0)=6,"一致","差分あり")))</f>
        <v/>
      </c>
      <c r="AJ4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8" s="19" t="inlineStr"/>
      <c r="AL488" s="18" t="inlineStr">
        <is>
          <t>2026-06-29</t>
        </is>
      </c>
    </row>
    <row r="489" ht="22" customHeight="1">
      <c r="A489" s="17" t="inlineStr">
        <is>
          <t>1006301-LB0</t>
        </is>
      </c>
      <c r="B489" s="18" t="n">
        <v>1006301</v>
      </c>
      <c r="C489" s="17" t="inlineStr">
        <is>
          <t>MiOhshima01</t>
        </is>
      </c>
      <c r="D489" s="17" t="inlineStr">
        <is>
          <t>MiOhshima</t>
        </is>
      </c>
      <c r="E489" s="17" t="inlineStr">
        <is>
          <t>大島 三野里</t>
        </is>
      </c>
      <c r="F489" s="19" t="inlineStr">
        <is>
          <t>三野里の疾走</t>
        </is>
      </c>
      <c r="G489" s="18" t="inlineStr">
        <is>
          <t>A</t>
        </is>
      </c>
      <c r="H489" s="17" t="inlineStr">
        <is>
          <t>Attacker</t>
        </is>
      </c>
      <c r="I489" s="18" t="n">
        <v>0</v>
      </c>
      <c r="J489" s="18" t="n">
        <v>20</v>
      </c>
      <c r="K489" s="18" t="n">
        <v>249</v>
      </c>
      <c r="L489" s="18" t="n">
        <v>294</v>
      </c>
      <c r="M489" s="18" t="n">
        <v>278</v>
      </c>
      <c r="N489" s="18" t="n">
        <v>244</v>
      </c>
      <c r="O489" s="18" t="n">
        <v>290</v>
      </c>
      <c r="P489" s="18" t="n">
        <v>279</v>
      </c>
      <c r="Q489" s="18" t="n">
        <v>25</v>
      </c>
      <c r="R489" s="18" t="n">
        <v>30</v>
      </c>
      <c r="S489" s="18" t="n">
        <v>28</v>
      </c>
      <c r="T489" s="18" t="n">
        <v>25</v>
      </c>
      <c r="U489" s="18" t="n">
        <v>29</v>
      </c>
      <c r="V489" s="18" t="n">
        <v>28</v>
      </c>
      <c r="W489" s="20" t="n"/>
      <c r="X489" s="20" t="n"/>
      <c r="Y489" s="20" t="n"/>
      <c r="Z489" s="20" t="n"/>
      <c r="AA489" s="20" t="n"/>
      <c r="AB489" s="20" t="n"/>
      <c r="AC489" s="21">
        <f>IF(W489="","",W489-K489)</f>
        <v/>
      </c>
      <c r="AD489" s="21">
        <f>IF(X489="","",X489-L489)</f>
        <v/>
      </c>
      <c r="AE489" s="21">
        <f>IF(Y489="","",Y489-M489)</f>
        <v/>
      </c>
      <c r="AF489" s="21">
        <f>IF(Z489="","",Z489-N489)</f>
        <v/>
      </c>
      <c r="AG489" s="21">
        <f>IF(AA489="","",AA489-O489)</f>
        <v/>
      </c>
      <c r="AH489" s="21">
        <f>IF(AB489="","",AB489-P489)</f>
        <v/>
      </c>
      <c r="AI489" s="18">
        <f>IF(COUNTA(W489:AB489)=0,"未入力",IF(COUNTA(W489:AB489)&lt;6,"一部入力",IF(COUNTIF(AC489:AH489,0)=6,"一致","差分あり")))</f>
        <v/>
      </c>
      <c r="AJ4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89" s="19" t="inlineStr"/>
      <c r="AL489" s="18" t="inlineStr">
        <is>
          <t>2026-06-29</t>
        </is>
      </c>
    </row>
    <row r="490" ht="22" customHeight="1">
      <c r="A490" s="17" t="inlineStr">
        <is>
          <t>1006301-LB20</t>
        </is>
      </c>
      <c r="B490" s="18" t="n">
        <v>1006301</v>
      </c>
      <c r="C490" s="17" t="inlineStr">
        <is>
          <t>MiOhshima01</t>
        </is>
      </c>
      <c r="D490" s="17" t="inlineStr">
        <is>
          <t>MiOhshima</t>
        </is>
      </c>
      <c r="E490" s="17" t="inlineStr">
        <is>
          <t>大島 三野里</t>
        </is>
      </c>
      <c r="F490" s="19" t="inlineStr">
        <is>
          <t>三野里の疾走</t>
        </is>
      </c>
      <c r="G490" s="18" t="inlineStr">
        <is>
          <t>A</t>
        </is>
      </c>
      <c r="H490" s="17" t="inlineStr">
        <is>
          <t>Attacker</t>
        </is>
      </c>
      <c r="I490" s="18" t="n">
        <v>20</v>
      </c>
      <c r="J490" s="18" t="n">
        <v>20</v>
      </c>
      <c r="K490" s="18" t="n">
        <v>293</v>
      </c>
      <c r="L490" s="18" t="n">
        <v>340</v>
      </c>
      <c r="M490" s="18" t="n">
        <v>322</v>
      </c>
      <c r="N490" s="18" t="n">
        <v>288</v>
      </c>
      <c r="O490" s="18" t="n">
        <v>334</v>
      </c>
      <c r="P490" s="18" t="n">
        <v>323</v>
      </c>
      <c r="Q490" s="18" t="n">
        <v>30</v>
      </c>
      <c r="R490" s="18" t="n">
        <v>34</v>
      </c>
      <c r="S490" s="18" t="n">
        <v>33</v>
      </c>
      <c r="T490" s="18" t="n">
        <v>29</v>
      </c>
      <c r="U490" s="18" t="n">
        <v>34</v>
      </c>
      <c r="V490" s="18" t="n">
        <v>33</v>
      </c>
      <c r="W490" s="20" t="n"/>
      <c r="X490" s="20" t="n"/>
      <c r="Y490" s="20" t="n"/>
      <c r="Z490" s="20" t="n"/>
      <c r="AA490" s="20" t="n"/>
      <c r="AB490" s="20" t="n"/>
      <c r="AC490" s="21">
        <f>IF(W490="","",W490-K490)</f>
        <v/>
      </c>
      <c r="AD490" s="21">
        <f>IF(X490="","",X490-L490)</f>
        <v/>
      </c>
      <c r="AE490" s="21">
        <f>IF(Y490="","",Y490-M490)</f>
        <v/>
      </c>
      <c r="AF490" s="21">
        <f>IF(Z490="","",Z490-N490)</f>
        <v/>
      </c>
      <c r="AG490" s="21">
        <f>IF(AA490="","",AA490-O490)</f>
        <v/>
      </c>
      <c r="AH490" s="21">
        <f>IF(AB490="","",AB490-P490)</f>
        <v/>
      </c>
      <c r="AI490" s="18">
        <f>IF(COUNTA(W490:AB490)=0,"未入力",IF(COUNTA(W490:AB490)&lt;6,"一部入力",IF(COUNTIF(AC490:AH490,0)=6,"一致","差分あり")))</f>
        <v/>
      </c>
      <c r="AJ4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0" s="19" t="inlineStr"/>
      <c r="AL490" s="18" t="inlineStr">
        <is>
          <t>2026-06-29</t>
        </is>
      </c>
    </row>
    <row r="491" ht="22" customHeight="1">
      <c r="A491" s="17" t="inlineStr">
        <is>
          <t>1006302-LB0</t>
        </is>
      </c>
      <c r="B491" s="18" t="n">
        <v>1006302</v>
      </c>
      <c r="C491" s="17" t="inlineStr">
        <is>
          <t>MiOhshima02</t>
        </is>
      </c>
      <c r="D491" s="17" t="inlineStr">
        <is>
          <t>MiOhshima</t>
        </is>
      </c>
      <c r="E491" s="17" t="inlineStr">
        <is>
          <t>大島 三野里</t>
        </is>
      </c>
      <c r="F491" s="19" t="inlineStr">
        <is>
          <t>韋駄天配達人</t>
        </is>
      </c>
      <c r="G491" s="18" t="inlineStr">
        <is>
          <t>S</t>
        </is>
      </c>
      <c r="H491" s="17" t="inlineStr">
        <is>
          <t>Attacker</t>
        </is>
      </c>
      <c r="I491" s="18" t="n">
        <v>0</v>
      </c>
      <c r="J491" s="18" t="n">
        <v>10</v>
      </c>
      <c r="K491" s="18" t="n">
        <v>320</v>
      </c>
      <c r="L491" s="18" t="n">
        <v>323</v>
      </c>
      <c r="M491" s="18" t="n">
        <v>345</v>
      </c>
      <c r="N491" s="18" t="n">
        <v>347</v>
      </c>
      <c r="O491" s="18" t="n">
        <v>306</v>
      </c>
      <c r="P491" s="18" t="n">
        <v>306</v>
      </c>
      <c r="Q491" s="18" t="n">
        <v>32</v>
      </c>
      <c r="R491" s="18" t="n">
        <v>33</v>
      </c>
      <c r="S491" s="18" t="n">
        <v>35</v>
      </c>
      <c r="T491" s="18" t="n">
        <v>35</v>
      </c>
      <c r="U491" s="18" t="n">
        <v>31</v>
      </c>
      <c r="V491" s="18" t="n">
        <v>31</v>
      </c>
      <c r="W491" s="20" t="n"/>
      <c r="X491" s="20" t="n"/>
      <c r="Y491" s="20" t="n"/>
      <c r="Z491" s="20" t="n"/>
      <c r="AA491" s="20" t="n"/>
      <c r="AB491" s="20" t="n"/>
      <c r="AC491" s="21">
        <f>IF(W491="","",W491-K491)</f>
        <v/>
      </c>
      <c r="AD491" s="21">
        <f>IF(X491="","",X491-L491)</f>
        <v/>
      </c>
      <c r="AE491" s="21">
        <f>IF(Y491="","",Y491-M491)</f>
        <v/>
      </c>
      <c r="AF491" s="21">
        <f>IF(Z491="","",Z491-N491)</f>
        <v/>
      </c>
      <c r="AG491" s="21">
        <f>IF(AA491="","",AA491-O491)</f>
        <v/>
      </c>
      <c r="AH491" s="21">
        <f>IF(AB491="","",AB491-P491)</f>
        <v/>
      </c>
      <c r="AI491" s="18">
        <f>IF(COUNTA(W491:AB491)=0,"未入力",IF(COUNTA(W491:AB491)&lt;6,"一部入力",IF(COUNTIF(AC491:AH491,0)=6,"一致","差分あり")))</f>
        <v/>
      </c>
      <c r="AJ4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1" s="19" t="inlineStr"/>
      <c r="AL491" s="18" t="inlineStr">
        <is>
          <t>2026-06-29</t>
        </is>
      </c>
    </row>
    <row r="492" ht="22" customHeight="1">
      <c r="A492" s="17" t="inlineStr">
        <is>
          <t>1006302-LB10</t>
        </is>
      </c>
      <c r="B492" s="18" t="n">
        <v>1006302</v>
      </c>
      <c r="C492" s="17" t="inlineStr">
        <is>
          <t>MiOhshima02</t>
        </is>
      </c>
      <c r="D492" s="17" t="inlineStr">
        <is>
          <t>MiOhshima</t>
        </is>
      </c>
      <c r="E492" s="17" t="inlineStr">
        <is>
          <t>大島 三野里</t>
        </is>
      </c>
      <c r="F492" s="19" t="inlineStr">
        <is>
          <t>韋駄天配達人</t>
        </is>
      </c>
      <c r="G492" s="18" t="inlineStr">
        <is>
          <t>S</t>
        </is>
      </c>
      <c r="H492" s="17" t="inlineStr">
        <is>
          <t>Attacker</t>
        </is>
      </c>
      <c r="I492" s="18" t="n">
        <v>10</v>
      </c>
      <c r="J492" s="18" t="n">
        <v>10</v>
      </c>
      <c r="K492" s="18" t="n">
        <v>386</v>
      </c>
      <c r="L492" s="18" t="n">
        <v>389</v>
      </c>
      <c r="M492" s="18" t="n">
        <v>414</v>
      </c>
      <c r="N492" s="18" t="n">
        <v>412</v>
      </c>
      <c r="O492" s="18" t="n">
        <v>372</v>
      </c>
      <c r="P492" s="18" t="n">
        <v>372</v>
      </c>
      <c r="Q492" s="18" t="n">
        <v>39</v>
      </c>
      <c r="R492" s="18" t="n">
        <v>39</v>
      </c>
      <c r="S492" s="18" t="n">
        <v>42</v>
      </c>
      <c r="T492" s="18" t="n">
        <v>42</v>
      </c>
      <c r="U492" s="18" t="n">
        <v>38</v>
      </c>
      <c r="V492" s="18" t="n">
        <v>38</v>
      </c>
      <c r="W492" s="20" t="n"/>
      <c r="X492" s="20" t="n"/>
      <c r="Y492" s="20" t="n"/>
      <c r="Z492" s="20" t="n"/>
      <c r="AA492" s="20" t="n"/>
      <c r="AB492" s="20" t="n"/>
      <c r="AC492" s="21">
        <f>IF(W492="","",W492-K492)</f>
        <v/>
      </c>
      <c r="AD492" s="21">
        <f>IF(X492="","",X492-L492)</f>
        <v/>
      </c>
      <c r="AE492" s="21">
        <f>IF(Y492="","",Y492-M492)</f>
        <v/>
      </c>
      <c r="AF492" s="21">
        <f>IF(Z492="","",Z492-N492)</f>
        <v/>
      </c>
      <c r="AG492" s="21">
        <f>IF(AA492="","",AA492-O492)</f>
        <v/>
      </c>
      <c r="AH492" s="21">
        <f>IF(AB492="","",AB492-P492)</f>
        <v/>
      </c>
      <c r="AI492" s="18">
        <f>IF(COUNTA(W492:AB492)=0,"未入力",IF(COUNTA(W492:AB492)&lt;6,"一部入力",IF(COUNTIF(AC492:AH492,0)=6,"一致","差分あり")))</f>
        <v/>
      </c>
      <c r="AJ4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2" s="19" t="inlineStr"/>
      <c r="AL492" s="18" t="inlineStr">
        <is>
          <t>2026-06-29</t>
        </is>
      </c>
    </row>
    <row r="493" ht="22" customHeight="1">
      <c r="A493" s="17" t="inlineStr">
        <is>
          <t>1006303-LB0</t>
        </is>
      </c>
      <c r="B493" s="18" t="n">
        <v>1006303</v>
      </c>
      <c r="C493" s="17" t="inlineStr">
        <is>
          <t>MiOhshima03</t>
        </is>
      </c>
      <c r="D493" s="17" t="inlineStr">
        <is>
          <t>MiOhshima</t>
        </is>
      </c>
      <c r="E493" s="17" t="inlineStr">
        <is>
          <t>大島 三野里</t>
        </is>
      </c>
      <c r="F493" s="19" t="inlineStr">
        <is>
          <t>Realize Your Mind</t>
        </is>
      </c>
      <c r="G493" s="18" t="inlineStr">
        <is>
          <t>SS</t>
        </is>
      </c>
      <c r="H493" s="17" t="inlineStr">
        <is>
          <t>Attacker</t>
        </is>
      </c>
      <c r="I493" s="18" t="n">
        <v>0</v>
      </c>
      <c r="J493" s="18" t="n">
        <v>4</v>
      </c>
      <c r="K493" s="18" t="n">
        <v>415</v>
      </c>
      <c r="L493" s="18" t="n">
        <v>348</v>
      </c>
      <c r="M493" s="18" t="n">
        <v>362</v>
      </c>
      <c r="N493" s="18" t="n">
        <v>374</v>
      </c>
      <c r="O493" s="18" t="n">
        <v>377</v>
      </c>
      <c r="P493" s="18" t="n">
        <v>390</v>
      </c>
      <c r="Q493" s="18" t="n">
        <v>42</v>
      </c>
      <c r="R493" s="18" t="n">
        <v>35</v>
      </c>
      <c r="S493" s="18" t="n">
        <v>37</v>
      </c>
      <c r="T493" s="18" t="n">
        <v>38</v>
      </c>
      <c r="U493" s="18" t="n">
        <v>38</v>
      </c>
      <c r="V493" s="18" t="n">
        <v>39</v>
      </c>
      <c r="W493" s="20" t="n"/>
      <c r="X493" s="20" t="n"/>
      <c r="Y493" s="20" t="n"/>
      <c r="Z493" s="20" t="n"/>
      <c r="AA493" s="20" t="n"/>
      <c r="AB493" s="20" t="n"/>
      <c r="AC493" s="21">
        <f>IF(W493="","",W493-K493)</f>
        <v/>
      </c>
      <c r="AD493" s="21">
        <f>IF(X493="","",X493-L493)</f>
        <v/>
      </c>
      <c r="AE493" s="21">
        <f>IF(Y493="","",Y493-M493)</f>
        <v/>
      </c>
      <c r="AF493" s="21">
        <f>IF(Z493="","",Z493-N493)</f>
        <v/>
      </c>
      <c r="AG493" s="21">
        <f>IF(AA493="","",AA493-O493)</f>
        <v/>
      </c>
      <c r="AH493" s="21">
        <f>IF(AB493="","",AB493-P493)</f>
        <v/>
      </c>
      <c r="AI493" s="18">
        <f>IF(COUNTA(W493:AB493)=0,"未入力",IF(COUNTA(W493:AB493)&lt;6,"一部入力",IF(COUNTIF(AC493:AH493,0)=6,"一致","差分あり")))</f>
        <v/>
      </c>
      <c r="AJ4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3" s="19" t="inlineStr"/>
      <c r="AL493" s="18" t="inlineStr">
        <is>
          <t>2026-06-29</t>
        </is>
      </c>
    </row>
    <row r="494" ht="22" customHeight="1">
      <c r="A494" s="17" t="inlineStr">
        <is>
          <t>1006303-LB4</t>
        </is>
      </c>
      <c r="B494" s="18" t="n">
        <v>1006303</v>
      </c>
      <c r="C494" s="17" t="inlineStr">
        <is>
          <t>MiOhshima03</t>
        </is>
      </c>
      <c r="D494" s="17" t="inlineStr">
        <is>
          <t>MiOhshima</t>
        </is>
      </c>
      <c r="E494" s="17" t="inlineStr">
        <is>
          <t>大島 三野里</t>
        </is>
      </c>
      <c r="F494" s="19" t="inlineStr">
        <is>
          <t>Realize Your Mind</t>
        </is>
      </c>
      <c r="G494" s="18" t="inlineStr">
        <is>
          <t>SS</t>
        </is>
      </c>
      <c r="H494" s="17" t="inlineStr">
        <is>
          <t>Attacker</t>
        </is>
      </c>
      <c r="I494" s="18" t="n">
        <v>4</v>
      </c>
      <c r="J494" s="18" t="n">
        <v>4</v>
      </c>
      <c r="K494" s="18" t="n">
        <v>504</v>
      </c>
      <c r="L494" s="18" t="n">
        <v>437</v>
      </c>
      <c r="M494" s="18" t="n">
        <v>450</v>
      </c>
      <c r="N494" s="18" t="n">
        <v>461</v>
      </c>
      <c r="O494" s="18" t="n">
        <v>465</v>
      </c>
      <c r="P494" s="18" t="n">
        <v>477</v>
      </c>
      <c r="Q494" s="18" t="n">
        <v>51</v>
      </c>
      <c r="R494" s="18" t="n">
        <v>44</v>
      </c>
      <c r="S494" s="18" t="n">
        <v>45</v>
      </c>
      <c r="T494" s="18" t="n">
        <v>47</v>
      </c>
      <c r="U494" s="18" t="n">
        <v>47</v>
      </c>
      <c r="V494" s="18" t="n">
        <v>48</v>
      </c>
      <c r="W494" s="20" t="n"/>
      <c r="X494" s="20" t="n"/>
      <c r="Y494" s="20" t="n"/>
      <c r="Z494" s="20" t="n"/>
      <c r="AA494" s="20" t="n"/>
      <c r="AB494" s="20" t="n"/>
      <c r="AC494" s="21">
        <f>IF(W494="","",W494-K494)</f>
        <v/>
      </c>
      <c r="AD494" s="21">
        <f>IF(X494="","",X494-L494)</f>
        <v/>
      </c>
      <c r="AE494" s="21">
        <f>IF(Y494="","",Y494-M494)</f>
        <v/>
      </c>
      <c r="AF494" s="21">
        <f>IF(Z494="","",Z494-N494)</f>
        <v/>
      </c>
      <c r="AG494" s="21">
        <f>IF(AA494="","",AA494-O494)</f>
        <v/>
      </c>
      <c r="AH494" s="21">
        <f>IF(AB494="","",AB494-P494)</f>
        <v/>
      </c>
      <c r="AI494" s="18">
        <f>IF(COUNTA(W494:AB494)=0,"未入力",IF(COUNTA(W494:AB494)&lt;6,"一部入力",IF(COUNTIF(AC494:AH494,0)=6,"一致","差分あり")))</f>
        <v/>
      </c>
      <c r="AJ4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4" s="19" t="inlineStr"/>
      <c r="AL494" s="18" t="inlineStr">
        <is>
          <t>2026-06-29</t>
        </is>
      </c>
    </row>
    <row r="495" ht="22" customHeight="1">
      <c r="A495" s="17" t="inlineStr">
        <is>
          <t>1006304-LB0</t>
        </is>
      </c>
      <c r="B495" s="18" t="n">
        <v>1006304</v>
      </c>
      <c r="C495" s="17" t="inlineStr">
        <is>
          <t>MiOhshima04</t>
        </is>
      </c>
      <c r="D495" s="17" t="inlineStr">
        <is>
          <t>MiOhshima</t>
        </is>
      </c>
      <c r="E495" s="17" t="inlineStr">
        <is>
          <t>大島 三野里</t>
        </is>
      </c>
      <c r="F495" s="19" t="inlineStr">
        <is>
          <t>満艦飾の花乙女</t>
        </is>
      </c>
      <c r="G495" s="18" t="inlineStr">
        <is>
          <t>SS</t>
        </is>
      </c>
      <c r="H495" s="17" t="inlineStr">
        <is>
          <t>Buffer</t>
        </is>
      </c>
      <c r="I495" s="18" t="n">
        <v>0</v>
      </c>
      <c r="J495" s="18" t="n">
        <v>4</v>
      </c>
      <c r="K495" s="18" t="n">
        <v>402</v>
      </c>
      <c r="L495" s="18" t="n">
        <v>405</v>
      </c>
      <c r="M495" s="18" t="n">
        <v>432</v>
      </c>
      <c r="N495" s="18" t="n">
        <v>408</v>
      </c>
      <c r="O495" s="18" t="n">
        <v>386</v>
      </c>
      <c r="P495" s="18" t="n">
        <v>364</v>
      </c>
      <c r="Q495" s="18" t="n">
        <v>41</v>
      </c>
      <c r="R495" s="18" t="n">
        <v>41</v>
      </c>
      <c r="S495" s="18" t="n">
        <v>44</v>
      </c>
      <c r="T495" s="18" t="n">
        <v>41</v>
      </c>
      <c r="U495" s="18" t="n">
        <v>39</v>
      </c>
      <c r="V495" s="18" t="n">
        <v>37</v>
      </c>
      <c r="W495" s="20" t="n"/>
      <c r="X495" s="20" t="n"/>
      <c r="Y495" s="20" t="n"/>
      <c r="Z495" s="20" t="n"/>
      <c r="AA495" s="20" t="n"/>
      <c r="AB495" s="20" t="n"/>
      <c r="AC495" s="21">
        <f>IF(W495="","",W495-K495)</f>
        <v/>
      </c>
      <c r="AD495" s="21">
        <f>IF(X495="","",X495-L495)</f>
        <v/>
      </c>
      <c r="AE495" s="21">
        <f>IF(Y495="","",Y495-M495)</f>
        <v/>
      </c>
      <c r="AF495" s="21">
        <f>IF(Z495="","",Z495-N495)</f>
        <v/>
      </c>
      <c r="AG495" s="21">
        <f>IF(AA495="","",AA495-O495)</f>
        <v/>
      </c>
      <c r="AH495" s="21">
        <f>IF(AB495="","",AB495-P495)</f>
        <v/>
      </c>
      <c r="AI495" s="18">
        <f>IF(COUNTA(W495:AB495)=0,"未入力",IF(COUNTA(W495:AB495)&lt;6,"一部入力",IF(COUNTIF(AC495:AH495,0)=6,"一致","差分あり")))</f>
        <v/>
      </c>
      <c r="AJ4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5" s="19" t="inlineStr"/>
      <c r="AL495" s="18" t="inlineStr">
        <is>
          <t>2026-06-29</t>
        </is>
      </c>
    </row>
    <row r="496" ht="22" customHeight="1">
      <c r="A496" s="17" t="inlineStr">
        <is>
          <t>1006304-LB4</t>
        </is>
      </c>
      <c r="B496" s="18" t="n">
        <v>1006304</v>
      </c>
      <c r="C496" s="17" t="inlineStr">
        <is>
          <t>MiOhshima04</t>
        </is>
      </c>
      <c r="D496" s="17" t="inlineStr">
        <is>
          <t>MiOhshima</t>
        </is>
      </c>
      <c r="E496" s="17" t="inlineStr">
        <is>
          <t>大島 三野里</t>
        </is>
      </c>
      <c r="F496" s="19" t="inlineStr">
        <is>
          <t>満艦飾の花乙女</t>
        </is>
      </c>
      <c r="G496" s="18" t="inlineStr">
        <is>
          <t>SS</t>
        </is>
      </c>
      <c r="H496" s="17" t="inlineStr">
        <is>
          <t>Buffer</t>
        </is>
      </c>
      <c r="I496" s="18" t="n">
        <v>4</v>
      </c>
      <c r="J496" s="18" t="n">
        <v>4</v>
      </c>
      <c r="K496" s="18" t="n">
        <v>491</v>
      </c>
      <c r="L496" s="18" t="n">
        <v>495</v>
      </c>
      <c r="M496" s="18" t="n">
        <v>519</v>
      </c>
      <c r="N496" s="18" t="n">
        <v>495</v>
      </c>
      <c r="O496" s="18" t="n">
        <v>473</v>
      </c>
      <c r="P496" s="18" t="n">
        <v>452</v>
      </c>
      <c r="Q496" s="18" t="n">
        <v>50</v>
      </c>
      <c r="R496" s="18" t="n">
        <v>50</v>
      </c>
      <c r="S496" s="18" t="n">
        <v>52</v>
      </c>
      <c r="T496" s="18" t="n">
        <v>50</v>
      </c>
      <c r="U496" s="18" t="n">
        <v>48</v>
      </c>
      <c r="V496" s="18" t="n">
        <v>46</v>
      </c>
      <c r="W496" s="20" t="n"/>
      <c r="X496" s="20" t="n"/>
      <c r="Y496" s="20" t="n"/>
      <c r="Z496" s="20" t="n"/>
      <c r="AA496" s="20" t="n"/>
      <c r="AB496" s="20" t="n"/>
      <c r="AC496" s="21">
        <f>IF(W496="","",W496-K496)</f>
        <v/>
      </c>
      <c r="AD496" s="21">
        <f>IF(X496="","",X496-L496)</f>
        <v/>
      </c>
      <c r="AE496" s="21">
        <f>IF(Y496="","",Y496-M496)</f>
        <v/>
      </c>
      <c r="AF496" s="21">
        <f>IF(Z496="","",Z496-N496)</f>
        <v/>
      </c>
      <c r="AG496" s="21">
        <f>IF(AA496="","",AA496-O496)</f>
        <v/>
      </c>
      <c r="AH496" s="21">
        <f>IF(AB496="","",AB496-P496)</f>
        <v/>
      </c>
      <c r="AI496" s="18">
        <f>IF(COUNTA(W496:AB496)=0,"未入力",IF(COUNTA(W496:AB496)&lt;6,"一部入力",IF(COUNTIF(AC496:AH496,0)=6,"一致","差分あり")))</f>
        <v/>
      </c>
      <c r="AJ4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6" s="19" t="inlineStr"/>
      <c r="AL496" s="18" t="inlineStr">
        <is>
          <t>2026-06-29</t>
        </is>
      </c>
    </row>
    <row r="497" ht="22" customHeight="1">
      <c r="A497" s="17" t="inlineStr">
        <is>
          <t>1006305-LB0</t>
        </is>
      </c>
      <c r="B497" s="18" t="n">
        <v>1006305</v>
      </c>
      <c r="C497" s="17" t="inlineStr">
        <is>
          <t>MiOhshima05</t>
        </is>
      </c>
      <c r="D497" s="17" t="inlineStr">
        <is>
          <t>MiOhshima</t>
        </is>
      </c>
      <c r="E497" s="17" t="inlineStr">
        <is>
          <t>大島 三野里</t>
        </is>
      </c>
      <c r="F497" s="19" t="inlineStr">
        <is>
          <t>ぼくの相棒</t>
        </is>
      </c>
      <c r="G497" s="18" t="inlineStr">
        <is>
          <t>S</t>
        </is>
      </c>
      <c r="H497" s="17" t="inlineStr">
        <is>
          <t>Attacker</t>
        </is>
      </c>
      <c r="I497" s="18" t="n">
        <v>0</v>
      </c>
      <c r="J497" s="18" t="n">
        <v>10</v>
      </c>
      <c r="K497" s="18" t="n">
        <v>306</v>
      </c>
      <c r="L497" s="18" t="n">
        <v>356</v>
      </c>
      <c r="M497" s="18" t="n">
        <v>316</v>
      </c>
      <c r="N497" s="18" t="n">
        <v>304</v>
      </c>
      <c r="O497" s="18" t="n">
        <v>350</v>
      </c>
      <c r="P497" s="18" t="n">
        <v>317</v>
      </c>
      <c r="Q497" s="18" t="n">
        <v>31</v>
      </c>
      <c r="R497" s="18" t="n">
        <v>36</v>
      </c>
      <c r="S497" s="18" t="n">
        <v>32</v>
      </c>
      <c r="T497" s="18" t="n">
        <v>31</v>
      </c>
      <c r="U497" s="18" t="n">
        <v>35</v>
      </c>
      <c r="V497" s="18" t="n">
        <v>32</v>
      </c>
      <c r="W497" s="20" t="n"/>
      <c r="X497" s="20" t="n"/>
      <c r="Y497" s="20" t="n"/>
      <c r="Z497" s="20" t="n"/>
      <c r="AA497" s="20" t="n"/>
      <c r="AB497" s="20" t="n"/>
      <c r="AC497" s="21">
        <f>IF(W497="","",W497-K497)</f>
        <v/>
      </c>
      <c r="AD497" s="21">
        <f>IF(X497="","",X497-L497)</f>
        <v/>
      </c>
      <c r="AE497" s="21">
        <f>IF(Y497="","",Y497-M497)</f>
        <v/>
      </c>
      <c r="AF497" s="21">
        <f>IF(Z497="","",Z497-N497)</f>
        <v/>
      </c>
      <c r="AG497" s="21">
        <f>IF(AA497="","",AA497-O497)</f>
        <v/>
      </c>
      <c r="AH497" s="21">
        <f>IF(AB497="","",AB497-P497)</f>
        <v/>
      </c>
      <c r="AI497" s="18">
        <f>IF(COUNTA(W497:AB497)=0,"未入力",IF(COUNTA(W497:AB497)&lt;6,"一部入力",IF(COUNTIF(AC497:AH497,0)=6,"一致","差分あり")))</f>
        <v/>
      </c>
      <c r="AJ4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7" s="19" t="inlineStr"/>
      <c r="AL497" s="18" t="inlineStr">
        <is>
          <t>2026-06-29</t>
        </is>
      </c>
    </row>
    <row r="498" ht="22" customHeight="1">
      <c r="A498" s="17" t="inlineStr">
        <is>
          <t>1006305-LB10</t>
        </is>
      </c>
      <c r="B498" s="18" t="n">
        <v>1006305</v>
      </c>
      <c r="C498" s="17" t="inlineStr">
        <is>
          <t>MiOhshima05</t>
        </is>
      </c>
      <c r="D498" s="17" t="inlineStr">
        <is>
          <t>MiOhshima</t>
        </is>
      </c>
      <c r="E498" s="17" t="inlineStr">
        <is>
          <t>大島 三野里</t>
        </is>
      </c>
      <c r="F498" s="19" t="inlineStr">
        <is>
          <t>ぼくの相棒</t>
        </is>
      </c>
      <c r="G498" s="18" t="inlineStr">
        <is>
          <t>S</t>
        </is>
      </c>
      <c r="H498" s="17" t="inlineStr">
        <is>
          <t>Attacker</t>
        </is>
      </c>
      <c r="I498" s="18" t="n">
        <v>10</v>
      </c>
      <c r="J498" s="18" t="n">
        <v>10</v>
      </c>
      <c r="K498" s="18" t="n">
        <v>375</v>
      </c>
      <c r="L498" s="18" t="n">
        <v>423</v>
      </c>
      <c r="M498" s="18" t="n">
        <v>381</v>
      </c>
      <c r="N498" s="18" t="n">
        <v>369</v>
      </c>
      <c r="O498" s="18" t="n">
        <v>416</v>
      </c>
      <c r="P498" s="18" t="n">
        <v>383</v>
      </c>
      <c r="Q498" s="18" t="n">
        <v>38</v>
      </c>
      <c r="R498" s="18" t="n">
        <v>43</v>
      </c>
      <c r="S498" s="18" t="n">
        <v>39</v>
      </c>
      <c r="T498" s="18" t="n">
        <v>37</v>
      </c>
      <c r="U498" s="18" t="n">
        <v>42</v>
      </c>
      <c r="V498" s="18" t="n">
        <v>39</v>
      </c>
      <c r="W498" s="20" t="n"/>
      <c r="X498" s="20" t="n"/>
      <c r="Y498" s="20" t="n"/>
      <c r="Z498" s="20" t="n"/>
      <c r="AA498" s="20" t="n"/>
      <c r="AB498" s="20" t="n"/>
      <c r="AC498" s="21">
        <f>IF(W498="","",W498-K498)</f>
        <v/>
      </c>
      <c r="AD498" s="21">
        <f>IF(X498="","",X498-L498)</f>
        <v/>
      </c>
      <c r="AE498" s="21">
        <f>IF(Y498="","",Y498-M498)</f>
        <v/>
      </c>
      <c r="AF498" s="21">
        <f>IF(Z498="","",Z498-N498)</f>
        <v/>
      </c>
      <c r="AG498" s="21">
        <f>IF(AA498="","",AA498-O498)</f>
        <v/>
      </c>
      <c r="AH498" s="21">
        <f>IF(AB498="","",AB498-P498)</f>
        <v/>
      </c>
      <c r="AI498" s="18">
        <f>IF(COUNTA(W498:AB498)=0,"未入力",IF(COUNTA(W498:AB498)&lt;6,"一部入力",IF(COUNTIF(AC498:AH498,0)=6,"一致","差分あり")))</f>
        <v/>
      </c>
      <c r="AJ4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8" s="19" t="inlineStr"/>
      <c r="AL498" s="18" t="inlineStr">
        <is>
          <t>2026-06-29</t>
        </is>
      </c>
    </row>
    <row r="499" ht="22" customHeight="1">
      <c r="A499" s="17" t="inlineStr">
        <is>
          <t>1006306-LB0</t>
        </is>
      </c>
      <c r="B499" s="18" t="n">
        <v>1006306</v>
      </c>
      <c r="C499" s="17" t="inlineStr">
        <is>
          <t>MiOhshima06</t>
        </is>
      </c>
      <c r="D499" s="17" t="inlineStr">
        <is>
          <t>MiOhshima</t>
        </is>
      </c>
      <c r="E499" s="17" t="inlineStr">
        <is>
          <t>大島 三野里</t>
        </is>
      </c>
      <c r="F499" s="19" t="inlineStr">
        <is>
          <t>ミッドナイト・プレリュード</t>
        </is>
      </c>
      <c r="G499" s="18" t="inlineStr">
        <is>
          <t>SSR</t>
        </is>
      </c>
      <c r="H499" s="17" t="inlineStr">
        <is>
          <t>Breaker</t>
        </is>
      </c>
      <c r="I499" s="18" t="n">
        <v>0</v>
      </c>
      <c r="J499" s="18" t="n">
        <v>4</v>
      </c>
      <c r="K499" s="18" t="n">
        <v>367</v>
      </c>
      <c r="L499" s="18" t="n">
        <v>441</v>
      </c>
      <c r="M499" s="18" t="n">
        <v>397</v>
      </c>
      <c r="N499" s="18" t="n">
        <v>383</v>
      </c>
      <c r="O499" s="18" t="n">
        <v>412</v>
      </c>
      <c r="P499" s="18" t="n">
        <v>399</v>
      </c>
      <c r="Q499" s="18" t="n">
        <v>37</v>
      </c>
      <c r="R499" s="18" t="n">
        <v>45</v>
      </c>
      <c r="S499" s="18" t="n">
        <v>40</v>
      </c>
      <c r="T499" s="18" t="n">
        <v>39</v>
      </c>
      <c r="U499" s="18" t="n">
        <v>42</v>
      </c>
      <c r="V499" s="18" t="n">
        <v>40</v>
      </c>
      <c r="W499" s="20" t="n"/>
      <c r="X499" s="20" t="n"/>
      <c r="Y499" s="20" t="n"/>
      <c r="Z499" s="20" t="n"/>
      <c r="AA499" s="20" t="n"/>
      <c r="AB499" s="20" t="n"/>
      <c r="AC499" s="21">
        <f>IF(W499="","",W499-K499)</f>
        <v/>
      </c>
      <c r="AD499" s="21">
        <f>IF(X499="","",X499-L499)</f>
        <v/>
      </c>
      <c r="AE499" s="21">
        <f>IF(Y499="","",Y499-M499)</f>
        <v/>
      </c>
      <c r="AF499" s="21">
        <f>IF(Z499="","",Z499-N499)</f>
        <v/>
      </c>
      <c r="AG499" s="21">
        <f>IF(AA499="","",AA499-O499)</f>
        <v/>
      </c>
      <c r="AH499" s="21">
        <f>IF(AB499="","",AB499-P499)</f>
        <v/>
      </c>
      <c r="AI499" s="18">
        <f>IF(COUNTA(W499:AB499)=0,"未入力",IF(COUNTA(W499:AB499)&lt;6,"一部入力",IF(COUNTIF(AC499:AH499,0)=6,"一致","差分あり")))</f>
        <v/>
      </c>
      <c r="AJ4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499" s="19" t="inlineStr"/>
      <c r="AL499" s="18" t="inlineStr">
        <is>
          <t>2026-06-29</t>
        </is>
      </c>
    </row>
    <row r="500" ht="22" customHeight="1">
      <c r="A500" s="17" t="inlineStr">
        <is>
          <t>1006306-LB4</t>
        </is>
      </c>
      <c r="B500" s="18" t="n">
        <v>1006306</v>
      </c>
      <c r="C500" s="17" t="inlineStr">
        <is>
          <t>MiOhshima06</t>
        </is>
      </c>
      <c r="D500" s="17" t="inlineStr">
        <is>
          <t>MiOhshima</t>
        </is>
      </c>
      <c r="E500" s="17" t="inlineStr">
        <is>
          <t>大島 三野里</t>
        </is>
      </c>
      <c r="F500" s="19" t="inlineStr">
        <is>
          <t>ミッドナイト・プレリュード</t>
        </is>
      </c>
      <c r="G500" s="18" t="inlineStr">
        <is>
          <t>SSR</t>
        </is>
      </c>
      <c r="H500" s="17" t="inlineStr">
        <is>
          <t>Breaker</t>
        </is>
      </c>
      <c r="I500" s="18" t="n">
        <v>4</v>
      </c>
      <c r="J500" s="18" t="n">
        <v>4</v>
      </c>
      <c r="K500" s="18" t="n">
        <v>455</v>
      </c>
      <c r="L500" s="18" t="n">
        <v>530</v>
      </c>
      <c r="M500" s="18" t="n">
        <v>484</v>
      </c>
      <c r="N500" s="18" t="n">
        <v>469</v>
      </c>
      <c r="O500" s="18" t="n">
        <v>499</v>
      </c>
      <c r="P500" s="18" t="n">
        <v>486</v>
      </c>
      <c r="Q500" s="18" t="n">
        <v>46</v>
      </c>
      <c r="R500" s="18" t="n">
        <v>53</v>
      </c>
      <c r="S500" s="18" t="n">
        <v>49</v>
      </c>
      <c r="T500" s="18" t="n">
        <v>47</v>
      </c>
      <c r="U500" s="18" t="n">
        <v>50</v>
      </c>
      <c r="V500" s="18" t="n">
        <v>49</v>
      </c>
      <c r="W500" s="20" t="n"/>
      <c r="X500" s="20" t="n"/>
      <c r="Y500" s="20" t="n"/>
      <c r="Z500" s="20" t="n"/>
      <c r="AA500" s="20" t="n"/>
      <c r="AB500" s="20" t="n"/>
      <c r="AC500" s="21">
        <f>IF(W500="","",W500-K500)</f>
        <v/>
      </c>
      <c r="AD500" s="21">
        <f>IF(X500="","",X500-L500)</f>
        <v/>
      </c>
      <c r="AE500" s="21">
        <f>IF(Y500="","",Y500-M500)</f>
        <v/>
      </c>
      <c r="AF500" s="21">
        <f>IF(Z500="","",Z500-N500)</f>
        <v/>
      </c>
      <c r="AG500" s="21">
        <f>IF(AA500="","",AA500-O500)</f>
        <v/>
      </c>
      <c r="AH500" s="21">
        <f>IF(AB500="","",AB500-P500)</f>
        <v/>
      </c>
      <c r="AI500" s="18">
        <f>IF(COUNTA(W500:AB500)=0,"未入力",IF(COUNTA(W500:AB500)&lt;6,"一部入力",IF(COUNTIF(AC500:AH500,0)=6,"一致","差分あり")))</f>
        <v/>
      </c>
      <c r="AJ5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0" s="19" t="inlineStr"/>
      <c r="AL500" s="18" t="inlineStr">
        <is>
          <t>2026-06-29</t>
        </is>
      </c>
    </row>
    <row r="501" ht="22" customHeight="1">
      <c r="A501" s="17" t="inlineStr">
        <is>
          <t>1006401-LB0</t>
        </is>
      </c>
      <c r="B501" s="18" t="n">
        <v>1006401</v>
      </c>
      <c r="C501" s="17" t="inlineStr">
        <is>
          <t>YoOhshima01</t>
        </is>
      </c>
      <c r="D501" s="17" t="inlineStr">
        <is>
          <t>YoOhshima</t>
        </is>
      </c>
      <c r="E501" s="17" t="inlineStr">
        <is>
          <t>大島 四ツ葉</t>
        </is>
      </c>
      <c r="F501" s="19" t="inlineStr">
        <is>
          <t>四ツ葉の倦怠</t>
        </is>
      </c>
      <c r="G501" s="18" t="inlineStr">
        <is>
          <t>A</t>
        </is>
      </c>
      <c r="H501" s="17" t="inlineStr">
        <is>
          <t>Buffer</t>
        </is>
      </c>
      <c r="I501" s="18" t="n">
        <v>0</v>
      </c>
      <c r="J501" s="18" t="n">
        <v>20</v>
      </c>
      <c r="K501" s="18" t="n">
        <v>282</v>
      </c>
      <c r="L501" s="18" t="n">
        <v>245</v>
      </c>
      <c r="M501" s="18" t="n">
        <v>254</v>
      </c>
      <c r="N501" s="18" t="n">
        <v>282</v>
      </c>
      <c r="O501" s="18" t="n">
        <v>278</v>
      </c>
      <c r="P501" s="18" t="n">
        <v>286</v>
      </c>
      <c r="Q501" s="18" t="n">
        <v>29</v>
      </c>
      <c r="R501" s="18" t="n">
        <v>25</v>
      </c>
      <c r="S501" s="18" t="n">
        <v>26</v>
      </c>
      <c r="T501" s="18" t="n">
        <v>29</v>
      </c>
      <c r="U501" s="18" t="n">
        <v>28</v>
      </c>
      <c r="V501" s="18" t="n">
        <v>29</v>
      </c>
      <c r="W501" s="20" t="n"/>
      <c r="X501" s="20" t="n"/>
      <c r="Y501" s="20" t="n"/>
      <c r="Z501" s="20" t="n"/>
      <c r="AA501" s="20" t="n"/>
      <c r="AB501" s="20" t="n"/>
      <c r="AC501" s="21">
        <f>IF(W501="","",W501-K501)</f>
        <v/>
      </c>
      <c r="AD501" s="21">
        <f>IF(X501="","",X501-L501)</f>
        <v/>
      </c>
      <c r="AE501" s="21">
        <f>IF(Y501="","",Y501-M501)</f>
        <v/>
      </c>
      <c r="AF501" s="21">
        <f>IF(Z501="","",Z501-N501)</f>
        <v/>
      </c>
      <c r="AG501" s="21">
        <f>IF(AA501="","",AA501-O501)</f>
        <v/>
      </c>
      <c r="AH501" s="21">
        <f>IF(AB501="","",AB501-P501)</f>
        <v/>
      </c>
      <c r="AI501" s="18">
        <f>IF(COUNTA(W501:AB501)=0,"未入力",IF(COUNTA(W501:AB501)&lt;6,"一部入力",IF(COUNTIF(AC501:AH501,0)=6,"一致","差分あり")))</f>
        <v/>
      </c>
      <c r="AJ5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1" s="19" t="inlineStr"/>
      <c r="AL501" s="18" t="inlineStr">
        <is>
          <t>2026-06-29</t>
        </is>
      </c>
    </row>
    <row r="502" ht="22" customHeight="1">
      <c r="A502" s="17" t="inlineStr">
        <is>
          <t>1006401-LB20</t>
        </is>
      </c>
      <c r="B502" s="18" t="n">
        <v>1006401</v>
      </c>
      <c r="C502" s="17" t="inlineStr">
        <is>
          <t>YoOhshima01</t>
        </is>
      </c>
      <c r="D502" s="17" t="inlineStr">
        <is>
          <t>YoOhshima</t>
        </is>
      </c>
      <c r="E502" s="17" t="inlineStr">
        <is>
          <t>大島 四ツ葉</t>
        </is>
      </c>
      <c r="F502" s="19" t="inlineStr">
        <is>
          <t>四ツ葉の倦怠</t>
        </is>
      </c>
      <c r="G502" s="18" t="inlineStr">
        <is>
          <t>A</t>
        </is>
      </c>
      <c r="H502" s="17" t="inlineStr">
        <is>
          <t>Buffer</t>
        </is>
      </c>
      <c r="I502" s="18" t="n">
        <v>20</v>
      </c>
      <c r="J502" s="18" t="n">
        <v>20</v>
      </c>
      <c r="K502" s="18" t="n">
        <v>326</v>
      </c>
      <c r="L502" s="18" t="n">
        <v>289</v>
      </c>
      <c r="M502" s="18" t="n">
        <v>299</v>
      </c>
      <c r="N502" s="18" t="n">
        <v>326</v>
      </c>
      <c r="O502" s="18" t="n">
        <v>322</v>
      </c>
      <c r="P502" s="18" t="n">
        <v>329</v>
      </c>
      <c r="Q502" s="18" t="n">
        <v>33</v>
      </c>
      <c r="R502" s="18" t="n">
        <v>29</v>
      </c>
      <c r="S502" s="18" t="n">
        <v>30</v>
      </c>
      <c r="T502" s="18" t="n">
        <v>33</v>
      </c>
      <c r="U502" s="18" t="n">
        <v>33</v>
      </c>
      <c r="V502" s="18" t="n">
        <v>33</v>
      </c>
      <c r="W502" s="20" t="n"/>
      <c r="X502" s="20" t="n"/>
      <c r="Y502" s="20" t="n"/>
      <c r="Z502" s="20" t="n"/>
      <c r="AA502" s="20" t="n"/>
      <c r="AB502" s="20" t="n"/>
      <c r="AC502" s="21">
        <f>IF(W502="","",W502-K502)</f>
        <v/>
      </c>
      <c r="AD502" s="21">
        <f>IF(X502="","",X502-L502)</f>
        <v/>
      </c>
      <c r="AE502" s="21">
        <f>IF(Y502="","",Y502-M502)</f>
        <v/>
      </c>
      <c r="AF502" s="21">
        <f>IF(Z502="","",Z502-N502)</f>
        <v/>
      </c>
      <c r="AG502" s="21">
        <f>IF(AA502="","",AA502-O502)</f>
        <v/>
      </c>
      <c r="AH502" s="21">
        <f>IF(AB502="","",AB502-P502)</f>
        <v/>
      </c>
      <c r="AI502" s="18">
        <f>IF(COUNTA(W502:AB502)=0,"未入力",IF(COUNTA(W502:AB502)&lt;6,"一部入力",IF(COUNTIF(AC502:AH502,0)=6,"一致","差分あり")))</f>
        <v/>
      </c>
      <c r="AJ5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2" s="19" t="inlineStr"/>
      <c r="AL502" s="18" t="inlineStr">
        <is>
          <t>2026-06-29</t>
        </is>
      </c>
    </row>
    <row r="503" ht="22" customHeight="1">
      <c r="A503" s="17" t="inlineStr">
        <is>
          <t>1006402-LB0</t>
        </is>
      </c>
      <c r="B503" s="18" t="n">
        <v>1006402</v>
      </c>
      <c r="C503" s="17" t="inlineStr">
        <is>
          <t>YoOhshima02</t>
        </is>
      </c>
      <c r="D503" s="17" t="inlineStr">
        <is>
          <t>YoOhshima</t>
        </is>
      </c>
      <c r="E503" s="17" t="inlineStr">
        <is>
          <t>大島 四ツ葉</t>
        </is>
      </c>
      <c r="F503" s="19" t="inlineStr">
        <is>
          <t>Lollipop Break</t>
        </is>
      </c>
      <c r="G503" s="18" t="inlineStr">
        <is>
          <t>S</t>
        </is>
      </c>
      <c r="H503" s="17" t="inlineStr">
        <is>
          <t>Buffer</t>
        </is>
      </c>
      <c r="I503" s="18" t="n">
        <v>0</v>
      </c>
      <c r="J503" s="18" t="n">
        <v>10</v>
      </c>
      <c r="K503" s="18" t="n">
        <v>300</v>
      </c>
      <c r="L503" s="18" t="n">
        <v>348</v>
      </c>
      <c r="M503" s="18" t="n">
        <v>327</v>
      </c>
      <c r="N503" s="18" t="n">
        <v>309</v>
      </c>
      <c r="O503" s="18" t="n">
        <v>348</v>
      </c>
      <c r="P503" s="18" t="n">
        <v>313</v>
      </c>
      <c r="Q503" s="18" t="n">
        <v>30</v>
      </c>
      <c r="R503" s="18" t="n">
        <v>35</v>
      </c>
      <c r="S503" s="18" t="n">
        <v>33</v>
      </c>
      <c r="T503" s="18" t="n">
        <v>31</v>
      </c>
      <c r="U503" s="18" t="n">
        <v>35</v>
      </c>
      <c r="V503" s="18" t="n">
        <v>32</v>
      </c>
      <c r="W503" s="20" t="n"/>
      <c r="X503" s="20" t="n"/>
      <c r="Y503" s="20" t="n"/>
      <c r="Z503" s="20" t="n"/>
      <c r="AA503" s="20" t="n"/>
      <c r="AB503" s="20" t="n"/>
      <c r="AC503" s="21">
        <f>IF(W503="","",W503-K503)</f>
        <v/>
      </c>
      <c r="AD503" s="21">
        <f>IF(X503="","",X503-L503)</f>
        <v/>
      </c>
      <c r="AE503" s="21">
        <f>IF(Y503="","",Y503-M503)</f>
        <v/>
      </c>
      <c r="AF503" s="21">
        <f>IF(Z503="","",Z503-N503)</f>
        <v/>
      </c>
      <c r="AG503" s="21">
        <f>IF(AA503="","",AA503-O503)</f>
        <v/>
      </c>
      <c r="AH503" s="21">
        <f>IF(AB503="","",AB503-P503)</f>
        <v/>
      </c>
      <c r="AI503" s="18">
        <f>IF(COUNTA(W503:AB503)=0,"未入力",IF(COUNTA(W503:AB503)&lt;6,"一部入力",IF(COUNTIF(AC503:AH503,0)=6,"一致","差分あり")))</f>
        <v/>
      </c>
      <c r="AJ5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3" s="19" t="inlineStr"/>
      <c r="AL503" s="18" t="inlineStr">
        <is>
          <t>2026-06-29</t>
        </is>
      </c>
    </row>
    <row r="504" ht="22" customHeight="1">
      <c r="A504" s="17" t="inlineStr">
        <is>
          <t>1006402-LB10</t>
        </is>
      </c>
      <c r="B504" s="18" t="n">
        <v>1006402</v>
      </c>
      <c r="C504" s="17" t="inlineStr">
        <is>
          <t>YoOhshima02</t>
        </is>
      </c>
      <c r="D504" s="17" t="inlineStr">
        <is>
          <t>YoOhshima</t>
        </is>
      </c>
      <c r="E504" s="17" t="inlineStr">
        <is>
          <t>大島 四ツ葉</t>
        </is>
      </c>
      <c r="F504" s="19" t="inlineStr">
        <is>
          <t>Lollipop Break</t>
        </is>
      </c>
      <c r="G504" s="18" t="inlineStr">
        <is>
          <t>S</t>
        </is>
      </c>
      <c r="H504" s="17" t="inlineStr">
        <is>
          <t>Buffer</t>
        </is>
      </c>
      <c r="I504" s="18" t="n">
        <v>10</v>
      </c>
      <c r="J504" s="18" t="n">
        <v>10</v>
      </c>
      <c r="K504" s="18" t="n">
        <v>364</v>
      </c>
      <c r="L504" s="18" t="n">
        <v>414</v>
      </c>
      <c r="M504" s="18" t="n">
        <v>394</v>
      </c>
      <c r="N504" s="18" t="n">
        <v>375</v>
      </c>
      <c r="O504" s="18" t="n">
        <v>414</v>
      </c>
      <c r="P504" s="18" t="n">
        <v>378</v>
      </c>
      <c r="Q504" s="18" t="n">
        <v>37</v>
      </c>
      <c r="R504" s="18" t="n">
        <v>42</v>
      </c>
      <c r="S504" s="18" t="n">
        <v>40</v>
      </c>
      <c r="T504" s="18" t="n">
        <v>38</v>
      </c>
      <c r="U504" s="18" t="n">
        <v>42</v>
      </c>
      <c r="V504" s="18" t="n">
        <v>38</v>
      </c>
      <c r="W504" s="20" t="n"/>
      <c r="X504" s="20" t="n"/>
      <c r="Y504" s="20" t="n"/>
      <c r="Z504" s="20" t="n"/>
      <c r="AA504" s="20" t="n"/>
      <c r="AB504" s="20" t="n"/>
      <c r="AC504" s="21">
        <f>IF(W504="","",W504-K504)</f>
        <v/>
      </c>
      <c r="AD504" s="21">
        <f>IF(X504="","",X504-L504)</f>
        <v/>
      </c>
      <c r="AE504" s="21">
        <f>IF(Y504="","",Y504-M504)</f>
        <v/>
      </c>
      <c r="AF504" s="21">
        <f>IF(Z504="","",Z504-N504)</f>
        <v/>
      </c>
      <c r="AG504" s="21">
        <f>IF(AA504="","",AA504-O504)</f>
        <v/>
      </c>
      <c r="AH504" s="21">
        <f>IF(AB504="","",AB504-P504)</f>
        <v/>
      </c>
      <c r="AI504" s="18">
        <f>IF(COUNTA(W504:AB504)=0,"未入力",IF(COUNTA(W504:AB504)&lt;6,"一部入力",IF(COUNTIF(AC504:AH504,0)=6,"一致","差分あり")))</f>
        <v/>
      </c>
      <c r="AJ5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4" s="19" t="inlineStr"/>
      <c r="AL504" s="18" t="inlineStr">
        <is>
          <t>2026-06-29</t>
        </is>
      </c>
    </row>
    <row r="505" ht="22" customHeight="1">
      <c r="A505" s="17" t="inlineStr">
        <is>
          <t>1006403-LB0</t>
        </is>
      </c>
      <c r="B505" s="18" t="n">
        <v>1006403</v>
      </c>
      <c r="C505" s="17" t="inlineStr">
        <is>
          <t>YoOhshima03</t>
        </is>
      </c>
      <c r="D505" s="17" t="inlineStr">
        <is>
          <t>YoOhshima</t>
        </is>
      </c>
      <c r="E505" s="17" t="inlineStr">
        <is>
          <t>大島 四ツ葉</t>
        </is>
      </c>
      <c r="F505" s="19" t="inlineStr">
        <is>
          <t>破られたアンニュイ</t>
        </is>
      </c>
      <c r="G505" s="18" t="inlineStr">
        <is>
          <t>SS</t>
        </is>
      </c>
      <c r="H505" s="17" t="inlineStr">
        <is>
          <t>Buffer</t>
        </is>
      </c>
      <c r="I505" s="18" t="n">
        <v>0</v>
      </c>
      <c r="J505" s="18" t="n">
        <v>4</v>
      </c>
      <c r="K505" s="18" t="n">
        <v>369</v>
      </c>
      <c r="L505" s="18" t="n">
        <v>375</v>
      </c>
      <c r="M505" s="18" t="n">
        <v>424</v>
      </c>
      <c r="N505" s="18" t="n">
        <v>393</v>
      </c>
      <c r="O505" s="18" t="n">
        <v>362</v>
      </c>
      <c r="P505" s="18" t="n">
        <v>338</v>
      </c>
      <c r="Q505" s="18" t="n">
        <v>37</v>
      </c>
      <c r="R505" s="18" t="n">
        <v>38</v>
      </c>
      <c r="S505" s="18" t="n">
        <v>43</v>
      </c>
      <c r="T505" s="18" t="n">
        <v>40</v>
      </c>
      <c r="U505" s="18" t="n">
        <v>37</v>
      </c>
      <c r="V505" s="18" t="n">
        <v>34</v>
      </c>
      <c r="W505" s="20" t="n"/>
      <c r="X505" s="20" t="n"/>
      <c r="Y505" s="20" t="n"/>
      <c r="Z505" s="20" t="n"/>
      <c r="AA505" s="20" t="n"/>
      <c r="AB505" s="20" t="n"/>
      <c r="AC505" s="21">
        <f>IF(W505="","",W505-K505)</f>
        <v/>
      </c>
      <c r="AD505" s="21">
        <f>IF(X505="","",X505-L505)</f>
        <v/>
      </c>
      <c r="AE505" s="21">
        <f>IF(Y505="","",Y505-M505)</f>
        <v/>
      </c>
      <c r="AF505" s="21">
        <f>IF(Z505="","",Z505-N505)</f>
        <v/>
      </c>
      <c r="AG505" s="21">
        <f>IF(AA505="","",AA505-O505)</f>
        <v/>
      </c>
      <c r="AH505" s="21">
        <f>IF(AB505="","",AB505-P505)</f>
        <v/>
      </c>
      <c r="AI505" s="18">
        <f>IF(COUNTA(W505:AB505)=0,"未入力",IF(COUNTA(W505:AB505)&lt;6,"一部入力",IF(COUNTIF(AC505:AH505,0)=6,"一致","差分あり")))</f>
        <v/>
      </c>
      <c r="AJ5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5" s="19" t="inlineStr"/>
      <c r="AL505" s="18" t="inlineStr">
        <is>
          <t>2026-06-29</t>
        </is>
      </c>
    </row>
    <row r="506" ht="22" customHeight="1">
      <c r="A506" s="17" t="inlineStr">
        <is>
          <t>1006403-LB4</t>
        </is>
      </c>
      <c r="B506" s="18" t="n">
        <v>1006403</v>
      </c>
      <c r="C506" s="17" t="inlineStr">
        <is>
          <t>YoOhshima03</t>
        </is>
      </c>
      <c r="D506" s="17" t="inlineStr">
        <is>
          <t>YoOhshima</t>
        </is>
      </c>
      <c r="E506" s="17" t="inlineStr">
        <is>
          <t>大島 四ツ葉</t>
        </is>
      </c>
      <c r="F506" s="19" t="inlineStr">
        <is>
          <t>破られたアンニュイ</t>
        </is>
      </c>
      <c r="G506" s="18" t="inlineStr">
        <is>
          <t>SS</t>
        </is>
      </c>
      <c r="H506" s="17" t="inlineStr">
        <is>
          <t>Buffer</t>
        </is>
      </c>
      <c r="I506" s="18" t="n">
        <v>4</v>
      </c>
      <c r="J506" s="18" t="n">
        <v>4</v>
      </c>
      <c r="K506" s="18" t="n">
        <v>455</v>
      </c>
      <c r="L506" s="18" t="n">
        <v>463</v>
      </c>
      <c r="M506" s="18" t="n">
        <v>514</v>
      </c>
      <c r="N506" s="18" t="n">
        <v>481</v>
      </c>
      <c r="O506" s="18" t="n">
        <v>450</v>
      </c>
      <c r="P506" s="18" t="n">
        <v>424</v>
      </c>
      <c r="Q506" s="18" t="n">
        <v>46</v>
      </c>
      <c r="R506" s="18" t="n">
        <v>47</v>
      </c>
      <c r="S506" s="18" t="n">
        <v>52</v>
      </c>
      <c r="T506" s="18" t="n">
        <v>49</v>
      </c>
      <c r="U506" s="18" t="n">
        <v>45</v>
      </c>
      <c r="V506" s="18" t="n">
        <v>43</v>
      </c>
      <c r="W506" s="20" t="n"/>
      <c r="X506" s="20" t="n"/>
      <c r="Y506" s="20" t="n"/>
      <c r="Z506" s="20" t="n"/>
      <c r="AA506" s="20" t="n"/>
      <c r="AB506" s="20" t="n"/>
      <c r="AC506" s="21">
        <f>IF(W506="","",W506-K506)</f>
        <v/>
      </c>
      <c r="AD506" s="21">
        <f>IF(X506="","",X506-L506)</f>
        <v/>
      </c>
      <c r="AE506" s="21">
        <f>IF(Y506="","",Y506-M506)</f>
        <v/>
      </c>
      <c r="AF506" s="21">
        <f>IF(Z506="","",Z506-N506)</f>
        <v/>
      </c>
      <c r="AG506" s="21">
        <f>IF(AA506="","",AA506-O506)</f>
        <v/>
      </c>
      <c r="AH506" s="21">
        <f>IF(AB506="","",AB506-P506)</f>
        <v/>
      </c>
      <c r="AI506" s="18">
        <f>IF(COUNTA(W506:AB506)=0,"未入力",IF(COUNTA(W506:AB506)&lt;6,"一部入力",IF(COUNTIF(AC506:AH506,0)=6,"一致","差分あり")))</f>
        <v/>
      </c>
      <c r="AJ5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6" s="19" t="inlineStr"/>
      <c r="AL506" s="18" t="inlineStr">
        <is>
          <t>2026-06-29</t>
        </is>
      </c>
    </row>
    <row r="507" ht="22" customHeight="1">
      <c r="A507" s="17" t="inlineStr">
        <is>
          <t>1006404-LB0</t>
        </is>
      </c>
      <c r="B507" s="18" t="n">
        <v>1006404</v>
      </c>
      <c r="C507" s="17" t="inlineStr">
        <is>
          <t>YoOhshima04</t>
        </is>
      </c>
      <c r="D507" s="17" t="inlineStr">
        <is>
          <t>YoOhshima</t>
        </is>
      </c>
      <c r="E507" s="17" t="inlineStr">
        <is>
          <t>大島 四ツ葉</t>
        </is>
      </c>
      <c r="F507" s="19" t="inlineStr">
        <is>
          <t>ぐうたらパジャマナイト</t>
        </is>
      </c>
      <c r="G507" s="18" t="inlineStr">
        <is>
          <t>SS</t>
        </is>
      </c>
      <c r="H507" s="17" t="inlineStr">
        <is>
          <t>Buffer</t>
        </is>
      </c>
      <c r="I507" s="18" t="n">
        <v>0</v>
      </c>
      <c r="J507" s="18" t="n">
        <v>4</v>
      </c>
      <c r="K507" s="18" t="n">
        <v>391</v>
      </c>
      <c r="L507" s="18" t="n">
        <v>397</v>
      </c>
      <c r="M507" s="18" t="n">
        <v>446</v>
      </c>
      <c r="N507" s="18" t="n">
        <v>415</v>
      </c>
      <c r="O507" s="18" t="n">
        <v>384</v>
      </c>
      <c r="P507" s="18" t="n">
        <v>359</v>
      </c>
      <c r="Q507" s="18" t="n">
        <v>40</v>
      </c>
      <c r="R507" s="18" t="n">
        <v>40</v>
      </c>
      <c r="S507" s="18" t="n">
        <v>45</v>
      </c>
      <c r="T507" s="18" t="n">
        <v>42</v>
      </c>
      <c r="U507" s="18" t="n">
        <v>39</v>
      </c>
      <c r="V507" s="18" t="n">
        <v>36</v>
      </c>
      <c r="W507" s="20" t="n"/>
      <c r="X507" s="20" t="n"/>
      <c r="Y507" s="20" t="n"/>
      <c r="Z507" s="20" t="n"/>
      <c r="AA507" s="20" t="n"/>
      <c r="AB507" s="20" t="n"/>
      <c r="AC507" s="21">
        <f>IF(W507="","",W507-K507)</f>
        <v/>
      </c>
      <c r="AD507" s="21">
        <f>IF(X507="","",X507-L507)</f>
        <v/>
      </c>
      <c r="AE507" s="21">
        <f>IF(Y507="","",Y507-M507)</f>
        <v/>
      </c>
      <c r="AF507" s="21">
        <f>IF(Z507="","",Z507-N507)</f>
        <v/>
      </c>
      <c r="AG507" s="21">
        <f>IF(AA507="","",AA507-O507)</f>
        <v/>
      </c>
      <c r="AH507" s="21">
        <f>IF(AB507="","",AB507-P507)</f>
        <v/>
      </c>
      <c r="AI507" s="18">
        <f>IF(COUNTA(W507:AB507)=0,"未入力",IF(COUNTA(W507:AB507)&lt;6,"一部入力",IF(COUNTIF(AC507:AH507,0)=6,"一致","差分あり")))</f>
        <v/>
      </c>
      <c r="AJ5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7" s="19" t="inlineStr"/>
      <c r="AL507" s="18" t="inlineStr">
        <is>
          <t>2026-06-29</t>
        </is>
      </c>
    </row>
    <row r="508" ht="22" customHeight="1">
      <c r="A508" s="17" t="inlineStr">
        <is>
          <t>1006404-LB4</t>
        </is>
      </c>
      <c r="B508" s="18" t="n">
        <v>1006404</v>
      </c>
      <c r="C508" s="17" t="inlineStr">
        <is>
          <t>YoOhshima04</t>
        </is>
      </c>
      <c r="D508" s="17" t="inlineStr">
        <is>
          <t>YoOhshima</t>
        </is>
      </c>
      <c r="E508" s="17" t="inlineStr">
        <is>
          <t>大島 四ツ葉</t>
        </is>
      </c>
      <c r="F508" s="19" t="inlineStr">
        <is>
          <t>ぐうたらパジャマナイト</t>
        </is>
      </c>
      <c r="G508" s="18" t="inlineStr">
        <is>
          <t>SS</t>
        </is>
      </c>
      <c r="H508" s="17" t="inlineStr">
        <is>
          <t>Buffer</t>
        </is>
      </c>
      <c r="I508" s="18" t="n">
        <v>4</v>
      </c>
      <c r="J508" s="18" t="n">
        <v>4</v>
      </c>
      <c r="K508" s="18" t="n">
        <v>476</v>
      </c>
      <c r="L508" s="18" t="n">
        <v>484</v>
      </c>
      <c r="M508" s="18" t="n">
        <v>537</v>
      </c>
      <c r="N508" s="18" t="n">
        <v>504</v>
      </c>
      <c r="O508" s="18" t="n">
        <v>471</v>
      </c>
      <c r="P508" s="18" t="n">
        <v>446</v>
      </c>
      <c r="Q508" s="18" t="n">
        <v>48</v>
      </c>
      <c r="R508" s="18" t="n">
        <v>49</v>
      </c>
      <c r="S508" s="18" t="n">
        <v>54</v>
      </c>
      <c r="T508" s="18" t="n">
        <v>51</v>
      </c>
      <c r="U508" s="18" t="n">
        <v>48</v>
      </c>
      <c r="V508" s="18" t="n">
        <v>45</v>
      </c>
      <c r="W508" s="20" t="n"/>
      <c r="X508" s="20" t="n"/>
      <c r="Y508" s="20" t="n"/>
      <c r="Z508" s="20" t="n"/>
      <c r="AA508" s="20" t="n"/>
      <c r="AB508" s="20" t="n"/>
      <c r="AC508" s="21">
        <f>IF(W508="","",W508-K508)</f>
        <v/>
      </c>
      <c r="AD508" s="21">
        <f>IF(X508="","",X508-L508)</f>
        <v/>
      </c>
      <c r="AE508" s="21">
        <f>IF(Y508="","",Y508-M508)</f>
        <v/>
      </c>
      <c r="AF508" s="21">
        <f>IF(Z508="","",Z508-N508)</f>
        <v/>
      </c>
      <c r="AG508" s="21">
        <f>IF(AA508="","",AA508-O508)</f>
        <v/>
      </c>
      <c r="AH508" s="21">
        <f>IF(AB508="","",AB508-P508)</f>
        <v/>
      </c>
      <c r="AI508" s="18">
        <f>IF(COUNTA(W508:AB508)=0,"未入力",IF(COUNTA(W508:AB508)&lt;6,"一部入力",IF(COUNTIF(AC508:AH508,0)=6,"一致","差分あり")))</f>
        <v/>
      </c>
      <c r="AJ5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8" s="19" t="inlineStr"/>
      <c r="AL508" s="18" t="inlineStr">
        <is>
          <t>2026-06-29</t>
        </is>
      </c>
    </row>
    <row r="509" ht="22" customHeight="1">
      <c r="A509" s="17" t="inlineStr">
        <is>
          <t>1006405-LB0</t>
        </is>
      </c>
      <c r="B509" s="18" t="n">
        <v>1006405</v>
      </c>
      <c r="C509" s="17" t="inlineStr">
        <is>
          <t>YoOhshima05</t>
        </is>
      </c>
      <c r="D509" s="17" t="inlineStr">
        <is>
          <t>YoOhshima</t>
        </is>
      </c>
      <c r="E509" s="17" t="inlineStr">
        <is>
          <t>大島 四ツ葉</t>
        </is>
      </c>
      <c r="F509" s="19" t="inlineStr">
        <is>
          <t>ゆるりたゆたう湯道楽</t>
        </is>
      </c>
      <c r="G509" s="18" t="inlineStr">
        <is>
          <t>SS</t>
        </is>
      </c>
      <c r="H509" s="17" t="inlineStr">
        <is>
          <t>Buffer</t>
        </is>
      </c>
      <c r="I509" s="18" t="n">
        <v>0</v>
      </c>
      <c r="J509" s="18" t="n">
        <v>4</v>
      </c>
      <c r="K509" s="18" t="n">
        <v>391</v>
      </c>
      <c r="L509" s="18" t="n">
        <v>397</v>
      </c>
      <c r="M509" s="18" t="n">
        <v>446</v>
      </c>
      <c r="N509" s="18" t="n">
        <v>415</v>
      </c>
      <c r="O509" s="18" t="n">
        <v>384</v>
      </c>
      <c r="P509" s="18" t="n">
        <v>359</v>
      </c>
      <c r="Q509" s="18" t="n">
        <v>40</v>
      </c>
      <c r="R509" s="18" t="n">
        <v>40</v>
      </c>
      <c r="S509" s="18" t="n">
        <v>45</v>
      </c>
      <c r="T509" s="18" t="n">
        <v>42</v>
      </c>
      <c r="U509" s="18" t="n">
        <v>39</v>
      </c>
      <c r="V509" s="18" t="n">
        <v>36</v>
      </c>
      <c r="W509" s="20" t="n"/>
      <c r="X509" s="20" t="n"/>
      <c r="Y509" s="20" t="n"/>
      <c r="Z509" s="20" t="n"/>
      <c r="AA509" s="20" t="n"/>
      <c r="AB509" s="20" t="n"/>
      <c r="AC509" s="21">
        <f>IF(W509="","",W509-K509)</f>
        <v/>
      </c>
      <c r="AD509" s="21">
        <f>IF(X509="","",X509-L509)</f>
        <v/>
      </c>
      <c r="AE509" s="21">
        <f>IF(Y509="","",Y509-M509)</f>
        <v/>
      </c>
      <c r="AF509" s="21">
        <f>IF(Z509="","",Z509-N509)</f>
        <v/>
      </c>
      <c r="AG509" s="21">
        <f>IF(AA509="","",AA509-O509)</f>
        <v/>
      </c>
      <c r="AH509" s="21">
        <f>IF(AB509="","",AB509-P509)</f>
        <v/>
      </c>
      <c r="AI509" s="18">
        <f>IF(COUNTA(W509:AB509)=0,"未入力",IF(COUNTA(W509:AB509)&lt;6,"一部入力",IF(COUNTIF(AC509:AH509,0)=6,"一致","差分あり")))</f>
        <v/>
      </c>
      <c r="AJ5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09" s="19" t="inlineStr"/>
      <c r="AL509" s="18" t="inlineStr">
        <is>
          <t>2026-06-29</t>
        </is>
      </c>
    </row>
    <row r="510" ht="22" customHeight="1">
      <c r="A510" s="17" t="inlineStr">
        <is>
          <t>1006405-LB4</t>
        </is>
      </c>
      <c r="B510" s="18" t="n">
        <v>1006405</v>
      </c>
      <c r="C510" s="17" t="inlineStr">
        <is>
          <t>YoOhshima05</t>
        </is>
      </c>
      <c r="D510" s="17" t="inlineStr">
        <is>
          <t>YoOhshima</t>
        </is>
      </c>
      <c r="E510" s="17" t="inlineStr">
        <is>
          <t>大島 四ツ葉</t>
        </is>
      </c>
      <c r="F510" s="19" t="inlineStr">
        <is>
          <t>ゆるりたゆたう湯道楽</t>
        </is>
      </c>
      <c r="G510" s="18" t="inlineStr">
        <is>
          <t>SS</t>
        </is>
      </c>
      <c r="H510" s="17" t="inlineStr">
        <is>
          <t>Buffer</t>
        </is>
      </c>
      <c r="I510" s="18" t="n">
        <v>4</v>
      </c>
      <c r="J510" s="18" t="n">
        <v>4</v>
      </c>
      <c r="K510" s="18" t="n">
        <v>476</v>
      </c>
      <c r="L510" s="18" t="n">
        <v>484</v>
      </c>
      <c r="M510" s="18" t="n">
        <v>537</v>
      </c>
      <c r="N510" s="18" t="n">
        <v>504</v>
      </c>
      <c r="O510" s="18" t="n">
        <v>471</v>
      </c>
      <c r="P510" s="18" t="n">
        <v>446</v>
      </c>
      <c r="Q510" s="18" t="n">
        <v>48</v>
      </c>
      <c r="R510" s="18" t="n">
        <v>49</v>
      </c>
      <c r="S510" s="18" t="n">
        <v>54</v>
      </c>
      <c r="T510" s="18" t="n">
        <v>51</v>
      </c>
      <c r="U510" s="18" t="n">
        <v>48</v>
      </c>
      <c r="V510" s="18" t="n">
        <v>45</v>
      </c>
      <c r="W510" s="20" t="n"/>
      <c r="X510" s="20" t="n"/>
      <c r="Y510" s="20" t="n"/>
      <c r="Z510" s="20" t="n"/>
      <c r="AA510" s="20" t="n"/>
      <c r="AB510" s="20" t="n"/>
      <c r="AC510" s="21">
        <f>IF(W510="","",W510-K510)</f>
        <v/>
      </c>
      <c r="AD510" s="21">
        <f>IF(X510="","",X510-L510)</f>
        <v/>
      </c>
      <c r="AE510" s="21">
        <f>IF(Y510="","",Y510-M510)</f>
        <v/>
      </c>
      <c r="AF510" s="21">
        <f>IF(Z510="","",Z510-N510)</f>
        <v/>
      </c>
      <c r="AG510" s="21">
        <f>IF(AA510="","",AA510-O510)</f>
        <v/>
      </c>
      <c r="AH510" s="21">
        <f>IF(AB510="","",AB510-P510)</f>
        <v/>
      </c>
      <c r="AI510" s="18">
        <f>IF(COUNTA(W510:AB510)=0,"未入力",IF(COUNTA(W510:AB510)&lt;6,"一部入力",IF(COUNTIF(AC510:AH510,0)=6,"一致","差分あり")))</f>
        <v/>
      </c>
      <c r="AJ5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0" s="19" t="inlineStr"/>
      <c r="AL510" s="18" t="inlineStr">
        <is>
          <t>2026-06-29</t>
        </is>
      </c>
    </row>
    <row r="511" ht="22" customHeight="1">
      <c r="A511" s="17" t="inlineStr">
        <is>
          <t>1006406-LB0</t>
        </is>
      </c>
      <c r="B511" s="18" t="n">
        <v>1006406</v>
      </c>
      <c r="C511" s="17" t="inlineStr">
        <is>
          <t>YoOhshima06</t>
        </is>
      </c>
      <c r="D511" s="17" t="inlineStr">
        <is>
          <t>YoOhshima</t>
        </is>
      </c>
      <c r="E511" s="17" t="inlineStr">
        <is>
          <t>大島 四ツ葉</t>
        </is>
      </c>
      <c r="F511" s="19" t="inlineStr">
        <is>
          <t>ふわりフリーダム</t>
        </is>
      </c>
      <c r="G511" s="18" t="inlineStr">
        <is>
          <t>S</t>
        </is>
      </c>
      <c r="H511" s="17" t="inlineStr">
        <is>
          <t>Buffer</t>
        </is>
      </c>
      <c r="I511" s="18" t="n">
        <v>0</v>
      </c>
      <c r="J511" s="18" t="n">
        <v>10</v>
      </c>
      <c r="K511" s="18" t="n">
        <v>310</v>
      </c>
      <c r="L511" s="18" t="n">
        <v>316</v>
      </c>
      <c r="M511" s="18" t="n">
        <v>360</v>
      </c>
      <c r="N511" s="18" t="n">
        <v>353</v>
      </c>
      <c r="O511" s="18" t="n">
        <v>305</v>
      </c>
      <c r="P511" s="18" t="n">
        <v>302</v>
      </c>
      <c r="Q511" s="18" t="n">
        <v>31</v>
      </c>
      <c r="R511" s="18" t="n">
        <v>32</v>
      </c>
      <c r="S511" s="18" t="n">
        <v>36</v>
      </c>
      <c r="T511" s="18" t="n">
        <v>36</v>
      </c>
      <c r="U511" s="18" t="n">
        <v>31</v>
      </c>
      <c r="V511" s="18" t="n">
        <v>31</v>
      </c>
      <c r="W511" s="20" t="n"/>
      <c r="X511" s="20" t="n"/>
      <c r="Y511" s="20" t="n"/>
      <c r="Z511" s="20" t="n"/>
      <c r="AA511" s="20" t="n"/>
      <c r="AB511" s="20" t="n"/>
      <c r="AC511" s="21">
        <f>IF(W511="","",W511-K511)</f>
        <v/>
      </c>
      <c r="AD511" s="21">
        <f>IF(X511="","",X511-L511)</f>
        <v/>
      </c>
      <c r="AE511" s="21">
        <f>IF(Y511="","",Y511-M511)</f>
        <v/>
      </c>
      <c r="AF511" s="21">
        <f>IF(Z511="","",Z511-N511)</f>
        <v/>
      </c>
      <c r="AG511" s="21">
        <f>IF(AA511="","",AA511-O511)</f>
        <v/>
      </c>
      <c r="AH511" s="21">
        <f>IF(AB511="","",AB511-P511)</f>
        <v/>
      </c>
      <c r="AI511" s="18">
        <f>IF(COUNTA(W511:AB511)=0,"未入力",IF(COUNTA(W511:AB511)&lt;6,"一部入力",IF(COUNTIF(AC511:AH511,0)=6,"一致","差分あり")))</f>
        <v/>
      </c>
      <c r="AJ5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1" s="19" t="inlineStr"/>
      <c r="AL511" s="18" t="inlineStr">
        <is>
          <t>2026-06-29</t>
        </is>
      </c>
    </row>
    <row r="512" ht="22" customHeight="1">
      <c r="A512" s="17" t="inlineStr">
        <is>
          <t>1006406-LB10</t>
        </is>
      </c>
      <c r="B512" s="18" t="n">
        <v>1006406</v>
      </c>
      <c r="C512" s="17" t="inlineStr">
        <is>
          <t>YoOhshima06</t>
        </is>
      </c>
      <c r="D512" s="17" t="inlineStr">
        <is>
          <t>YoOhshima</t>
        </is>
      </c>
      <c r="E512" s="17" t="inlineStr">
        <is>
          <t>大島 四ツ葉</t>
        </is>
      </c>
      <c r="F512" s="19" t="inlineStr">
        <is>
          <t>ふわりフリーダム</t>
        </is>
      </c>
      <c r="G512" s="18" t="inlineStr">
        <is>
          <t>S</t>
        </is>
      </c>
      <c r="H512" s="17" t="inlineStr">
        <is>
          <t>Buffer</t>
        </is>
      </c>
      <c r="I512" s="18" t="n">
        <v>10</v>
      </c>
      <c r="J512" s="18" t="n">
        <v>10</v>
      </c>
      <c r="K512" s="18" t="n">
        <v>375</v>
      </c>
      <c r="L512" s="18" t="n">
        <v>381</v>
      </c>
      <c r="M512" s="18" t="n">
        <v>428</v>
      </c>
      <c r="N512" s="18" t="n">
        <v>419</v>
      </c>
      <c r="O512" s="18" t="n">
        <v>370</v>
      </c>
      <c r="P512" s="18" t="n">
        <v>367</v>
      </c>
      <c r="Q512" s="18" t="n">
        <v>38</v>
      </c>
      <c r="R512" s="18" t="n">
        <v>39</v>
      </c>
      <c r="S512" s="18" t="n">
        <v>43</v>
      </c>
      <c r="T512" s="18" t="n">
        <v>42</v>
      </c>
      <c r="U512" s="18" t="n">
        <v>37</v>
      </c>
      <c r="V512" s="18" t="n">
        <v>37</v>
      </c>
      <c r="W512" s="20" t="n"/>
      <c r="X512" s="20" t="n"/>
      <c r="Y512" s="20" t="n"/>
      <c r="Z512" s="20" t="n"/>
      <c r="AA512" s="20" t="n"/>
      <c r="AB512" s="20" t="n"/>
      <c r="AC512" s="21">
        <f>IF(W512="","",W512-K512)</f>
        <v/>
      </c>
      <c r="AD512" s="21">
        <f>IF(X512="","",X512-L512)</f>
        <v/>
      </c>
      <c r="AE512" s="21">
        <f>IF(Y512="","",Y512-M512)</f>
        <v/>
      </c>
      <c r="AF512" s="21">
        <f>IF(Z512="","",Z512-N512)</f>
        <v/>
      </c>
      <c r="AG512" s="21">
        <f>IF(AA512="","",AA512-O512)</f>
        <v/>
      </c>
      <c r="AH512" s="21">
        <f>IF(AB512="","",AB512-P512)</f>
        <v/>
      </c>
      <c r="AI512" s="18">
        <f>IF(COUNTA(W512:AB512)=0,"未入力",IF(COUNTA(W512:AB512)&lt;6,"一部入力",IF(COUNTIF(AC512:AH512,0)=6,"一致","差分あり")))</f>
        <v/>
      </c>
      <c r="AJ5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2" s="19" t="inlineStr"/>
      <c r="AL512" s="18" t="inlineStr">
        <is>
          <t>2026-06-29</t>
        </is>
      </c>
    </row>
    <row r="513" ht="22" customHeight="1">
      <c r="A513" s="17" t="inlineStr">
        <is>
          <t>1006501-LB0</t>
        </is>
      </c>
      <c r="B513" s="18" t="n">
        <v>1006501</v>
      </c>
      <c r="C513" s="17" t="inlineStr">
        <is>
          <t>IrOhshima01</t>
        </is>
      </c>
      <c r="D513" s="17" t="inlineStr">
        <is>
          <t>IrOhshima</t>
        </is>
      </c>
      <c r="E513" s="17" t="inlineStr">
        <is>
          <t>大島 五十鈴</t>
        </is>
      </c>
      <c r="F513" s="19" t="inlineStr">
        <is>
          <t>五十鈴の秘密</t>
        </is>
      </c>
      <c r="G513" s="18" t="inlineStr">
        <is>
          <t>A</t>
        </is>
      </c>
      <c r="H513" s="17" t="inlineStr">
        <is>
          <t>Debuffer</t>
        </is>
      </c>
      <c r="I513" s="18" t="n">
        <v>0</v>
      </c>
      <c r="J513" s="18" t="n">
        <v>20</v>
      </c>
      <c r="K513" s="18" t="n">
        <v>288</v>
      </c>
      <c r="L513" s="18" t="n">
        <v>243</v>
      </c>
      <c r="M513" s="18" t="n">
        <v>257</v>
      </c>
      <c r="N513" s="18" t="n">
        <v>284</v>
      </c>
      <c r="O513" s="18" t="n">
        <v>279</v>
      </c>
      <c r="P513" s="18" t="n">
        <v>281</v>
      </c>
      <c r="Q513" s="18" t="n">
        <v>29</v>
      </c>
      <c r="R513" s="18" t="n">
        <v>25</v>
      </c>
      <c r="S513" s="18" t="n">
        <v>26</v>
      </c>
      <c r="T513" s="18" t="n">
        <v>29</v>
      </c>
      <c r="U513" s="18" t="n">
        <v>28</v>
      </c>
      <c r="V513" s="18" t="n">
        <v>29</v>
      </c>
      <c r="W513" s="20" t="n"/>
      <c r="X513" s="20" t="n"/>
      <c r="Y513" s="20" t="n"/>
      <c r="Z513" s="20" t="n"/>
      <c r="AA513" s="20" t="n"/>
      <c r="AB513" s="20" t="n"/>
      <c r="AC513" s="21">
        <f>IF(W513="","",W513-K513)</f>
        <v/>
      </c>
      <c r="AD513" s="21">
        <f>IF(X513="","",X513-L513)</f>
        <v/>
      </c>
      <c r="AE513" s="21">
        <f>IF(Y513="","",Y513-M513)</f>
        <v/>
      </c>
      <c r="AF513" s="21">
        <f>IF(Z513="","",Z513-N513)</f>
        <v/>
      </c>
      <c r="AG513" s="21">
        <f>IF(AA513="","",AA513-O513)</f>
        <v/>
      </c>
      <c r="AH513" s="21">
        <f>IF(AB513="","",AB513-P513)</f>
        <v/>
      </c>
      <c r="AI513" s="18">
        <f>IF(COUNTA(W513:AB513)=0,"未入力",IF(COUNTA(W513:AB513)&lt;6,"一部入力",IF(COUNTIF(AC513:AH513,0)=6,"一致","差分あり")))</f>
        <v/>
      </c>
      <c r="AJ5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3" s="19" t="inlineStr"/>
      <c r="AL513" s="18" t="inlineStr">
        <is>
          <t>2026-06-29</t>
        </is>
      </c>
    </row>
    <row r="514" ht="22" customHeight="1">
      <c r="A514" s="17" t="inlineStr">
        <is>
          <t>1006501-LB20</t>
        </is>
      </c>
      <c r="B514" s="18" t="n">
        <v>1006501</v>
      </c>
      <c r="C514" s="17" t="inlineStr">
        <is>
          <t>IrOhshima01</t>
        </is>
      </c>
      <c r="D514" s="17" t="inlineStr">
        <is>
          <t>IrOhshima</t>
        </is>
      </c>
      <c r="E514" s="17" t="inlineStr">
        <is>
          <t>大島 五十鈴</t>
        </is>
      </c>
      <c r="F514" s="19" t="inlineStr">
        <is>
          <t>五十鈴の秘密</t>
        </is>
      </c>
      <c r="G514" s="18" t="inlineStr">
        <is>
          <t>A</t>
        </is>
      </c>
      <c r="H514" s="17" t="inlineStr">
        <is>
          <t>Debuffer</t>
        </is>
      </c>
      <c r="I514" s="18" t="n">
        <v>20</v>
      </c>
      <c r="J514" s="18" t="n">
        <v>20</v>
      </c>
      <c r="K514" s="18" t="n">
        <v>332</v>
      </c>
      <c r="L514" s="18" t="n">
        <v>286</v>
      </c>
      <c r="M514" s="18" t="n">
        <v>303</v>
      </c>
      <c r="N514" s="18" t="n">
        <v>329</v>
      </c>
      <c r="O514" s="18" t="n">
        <v>323</v>
      </c>
      <c r="P514" s="18" t="n">
        <v>323</v>
      </c>
      <c r="Q514" s="18" t="n">
        <v>34</v>
      </c>
      <c r="R514" s="18" t="n">
        <v>29</v>
      </c>
      <c r="S514" s="18" t="n">
        <v>31</v>
      </c>
      <c r="T514" s="18" t="n">
        <v>33</v>
      </c>
      <c r="U514" s="18" t="n">
        <v>33</v>
      </c>
      <c r="V514" s="18" t="n">
        <v>33</v>
      </c>
      <c r="W514" s="20" t="n"/>
      <c r="X514" s="20" t="n"/>
      <c r="Y514" s="20" t="n"/>
      <c r="Z514" s="20" t="n"/>
      <c r="AA514" s="20" t="n"/>
      <c r="AB514" s="20" t="n"/>
      <c r="AC514" s="21">
        <f>IF(W514="","",W514-K514)</f>
        <v/>
      </c>
      <c r="AD514" s="21">
        <f>IF(X514="","",X514-L514)</f>
        <v/>
      </c>
      <c r="AE514" s="21">
        <f>IF(Y514="","",Y514-M514)</f>
        <v/>
      </c>
      <c r="AF514" s="21">
        <f>IF(Z514="","",Z514-N514)</f>
        <v/>
      </c>
      <c r="AG514" s="21">
        <f>IF(AA514="","",AA514-O514)</f>
        <v/>
      </c>
      <c r="AH514" s="21">
        <f>IF(AB514="","",AB514-P514)</f>
        <v/>
      </c>
      <c r="AI514" s="18">
        <f>IF(COUNTA(W514:AB514)=0,"未入力",IF(COUNTA(W514:AB514)&lt;6,"一部入力",IF(COUNTIF(AC514:AH514,0)=6,"一致","差分あり")))</f>
        <v/>
      </c>
      <c r="AJ5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4" s="19" t="inlineStr"/>
      <c r="AL514" s="18" t="inlineStr">
        <is>
          <t>2026-06-29</t>
        </is>
      </c>
    </row>
    <row r="515" ht="22" customHeight="1">
      <c r="A515" s="17" t="inlineStr">
        <is>
          <t>1006502-LB0</t>
        </is>
      </c>
      <c r="B515" s="18" t="n">
        <v>1006502</v>
      </c>
      <c r="C515" s="17" t="inlineStr">
        <is>
          <t>IrOhshima02</t>
        </is>
      </c>
      <c r="D515" s="17" t="inlineStr">
        <is>
          <t>IrOhshima</t>
        </is>
      </c>
      <c r="E515" s="17" t="inlineStr">
        <is>
          <t>大島 五十鈴</t>
        </is>
      </c>
      <c r="F515" s="19" t="inlineStr">
        <is>
          <t>ピースフルフレーバー</t>
        </is>
      </c>
      <c r="G515" s="18" t="inlineStr">
        <is>
          <t>S</t>
        </is>
      </c>
      <c r="H515" s="17" t="inlineStr">
        <is>
          <t>Debuffer</t>
        </is>
      </c>
      <c r="I515" s="18" t="n">
        <v>0</v>
      </c>
      <c r="J515" s="18" t="n">
        <v>10</v>
      </c>
      <c r="K515" s="18" t="n">
        <v>316</v>
      </c>
      <c r="L515" s="18" t="n">
        <v>313</v>
      </c>
      <c r="M515" s="18" t="n">
        <v>362</v>
      </c>
      <c r="N515" s="18" t="n">
        <v>356</v>
      </c>
      <c r="O515" s="18" t="n">
        <v>306</v>
      </c>
      <c r="P515" s="18" t="n">
        <v>297</v>
      </c>
      <c r="Q515" s="18" t="n">
        <v>32</v>
      </c>
      <c r="R515" s="18" t="n">
        <v>32</v>
      </c>
      <c r="S515" s="18" t="n">
        <v>37</v>
      </c>
      <c r="T515" s="18" t="n">
        <v>36</v>
      </c>
      <c r="U515" s="18" t="n">
        <v>31</v>
      </c>
      <c r="V515" s="18" t="n">
        <v>30</v>
      </c>
      <c r="W515" s="20" t="n"/>
      <c r="X515" s="20" t="n"/>
      <c r="Y515" s="20" t="n"/>
      <c r="Z515" s="20" t="n"/>
      <c r="AA515" s="20" t="n"/>
      <c r="AB515" s="20" t="n"/>
      <c r="AC515" s="21">
        <f>IF(W515="","",W515-K515)</f>
        <v/>
      </c>
      <c r="AD515" s="21">
        <f>IF(X515="","",X515-L515)</f>
        <v/>
      </c>
      <c r="AE515" s="21">
        <f>IF(Y515="","",Y515-M515)</f>
        <v/>
      </c>
      <c r="AF515" s="21">
        <f>IF(Z515="","",Z515-N515)</f>
        <v/>
      </c>
      <c r="AG515" s="21">
        <f>IF(AA515="","",AA515-O515)</f>
        <v/>
      </c>
      <c r="AH515" s="21">
        <f>IF(AB515="","",AB515-P515)</f>
        <v/>
      </c>
      <c r="AI515" s="18">
        <f>IF(COUNTA(W515:AB515)=0,"未入力",IF(COUNTA(W515:AB515)&lt;6,"一部入力",IF(COUNTIF(AC515:AH515,0)=6,"一致","差分あり")))</f>
        <v/>
      </c>
      <c r="AJ5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5" s="19" t="inlineStr"/>
      <c r="AL515" s="18" t="inlineStr">
        <is>
          <t>2026-06-29</t>
        </is>
      </c>
    </row>
    <row r="516" ht="22" customHeight="1">
      <c r="A516" s="17" t="inlineStr">
        <is>
          <t>1006502-LB10</t>
        </is>
      </c>
      <c r="B516" s="18" t="n">
        <v>1006502</v>
      </c>
      <c r="C516" s="17" t="inlineStr">
        <is>
          <t>IrOhshima02</t>
        </is>
      </c>
      <c r="D516" s="17" t="inlineStr">
        <is>
          <t>IrOhshima</t>
        </is>
      </c>
      <c r="E516" s="17" t="inlineStr">
        <is>
          <t>大島 五十鈴</t>
        </is>
      </c>
      <c r="F516" s="19" t="inlineStr">
        <is>
          <t>ピースフルフレーバー</t>
        </is>
      </c>
      <c r="G516" s="18" t="inlineStr">
        <is>
          <t>S</t>
        </is>
      </c>
      <c r="H516" s="17" t="inlineStr">
        <is>
          <t>Debuffer</t>
        </is>
      </c>
      <c r="I516" s="18" t="n">
        <v>10</v>
      </c>
      <c r="J516" s="18" t="n">
        <v>10</v>
      </c>
      <c r="K516" s="18" t="n">
        <v>381</v>
      </c>
      <c r="L516" s="18" t="n">
        <v>378</v>
      </c>
      <c r="M516" s="18" t="n">
        <v>434</v>
      </c>
      <c r="N516" s="18" t="n">
        <v>423</v>
      </c>
      <c r="O516" s="18" t="n">
        <v>372</v>
      </c>
      <c r="P516" s="18" t="n">
        <v>361</v>
      </c>
      <c r="Q516" s="18" t="n">
        <v>39</v>
      </c>
      <c r="R516" s="18" t="n">
        <v>38</v>
      </c>
      <c r="S516" s="18" t="n">
        <v>44</v>
      </c>
      <c r="T516" s="18" t="n">
        <v>43</v>
      </c>
      <c r="U516" s="18" t="n">
        <v>38</v>
      </c>
      <c r="V516" s="18" t="n">
        <v>37</v>
      </c>
      <c r="W516" s="20" t="n"/>
      <c r="X516" s="20" t="n"/>
      <c r="Y516" s="20" t="n"/>
      <c r="Z516" s="20" t="n"/>
      <c r="AA516" s="20" t="n"/>
      <c r="AB516" s="20" t="n"/>
      <c r="AC516" s="21">
        <f>IF(W516="","",W516-K516)</f>
        <v/>
      </c>
      <c r="AD516" s="21">
        <f>IF(X516="","",X516-L516)</f>
        <v/>
      </c>
      <c r="AE516" s="21">
        <f>IF(Y516="","",Y516-M516)</f>
        <v/>
      </c>
      <c r="AF516" s="21">
        <f>IF(Z516="","",Z516-N516)</f>
        <v/>
      </c>
      <c r="AG516" s="21">
        <f>IF(AA516="","",AA516-O516)</f>
        <v/>
      </c>
      <c r="AH516" s="21">
        <f>IF(AB516="","",AB516-P516)</f>
        <v/>
      </c>
      <c r="AI516" s="18">
        <f>IF(COUNTA(W516:AB516)=0,"未入力",IF(COUNTA(W516:AB516)&lt;6,"一部入力",IF(COUNTIF(AC516:AH516,0)=6,"一致","差分あり")))</f>
        <v/>
      </c>
      <c r="AJ5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6" s="19" t="inlineStr"/>
      <c r="AL516" s="18" t="inlineStr">
        <is>
          <t>2026-06-29</t>
        </is>
      </c>
    </row>
    <row r="517" ht="22" customHeight="1">
      <c r="A517" s="17" t="inlineStr">
        <is>
          <t>1006503-LB0</t>
        </is>
      </c>
      <c r="B517" s="18" t="n">
        <v>1006503</v>
      </c>
      <c r="C517" s="17" t="inlineStr">
        <is>
          <t>IrOhshima03</t>
        </is>
      </c>
      <c r="D517" s="17" t="inlineStr">
        <is>
          <t>IrOhshima</t>
        </is>
      </c>
      <c r="E517" s="17" t="inlineStr">
        <is>
          <t>大島 五十鈴</t>
        </is>
      </c>
      <c r="F517" s="19" t="inlineStr">
        <is>
          <t>勝利への鍵</t>
        </is>
      </c>
      <c r="G517" s="18" t="inlineStr">
        <is>
          <t>SS</t>
        </is>
      </c>
      <c r="H517" s="17" t="inlineStr">
        <is>
          <t>Debuffer</t>
        </is>
      </c>
      <c r="I517" s="18" t="n">
        <v>0</v>
      </c>
      <c r="J517" s="18" t="n">
        <v>4</v>
      </c>
      <c r="K517" s="18" t="n">
        <v>341</v>
      </c>
      <c r="L517" s="18" t="n">
        <v>407</v>
      </c>
      <c r="M517" s="18" t="n">
        <v>392</v>
      </c>
      <c r="N517" s="18" t="n">
        <v>370</v>
      </c>
      <c r="O517" s="18" t="n">
        <v>390</v>
      </c>
      <c r="P517" s="18" t="n">
        <v>366</v>
      </c>
      <c r="Q517" s="18" t="n">
        <v>35</v>
      </c>
      <c r="R517" s="18" t="n">
        <v>41</v>
      </c>
      <c r="S517" s="18" t="n">
        <v>40</v>
      </c>
      <c r="T517" s="18" t="n">
        <v>37</v>
      </c>
      <c r="U517" s="18" t="n">
        <v>39</v>
      </c>
      <c r="V517" s="18" t="n">
        <v>37</v>
      </c>
      <c r="W517" s="20" t="n"/>
      <c r="X517" s="20" t="n"/>
      <c r="Y517" s="20" t="n"/>
      <c r="Z517" s="20" t="n"/>
      <c r="AA517" s="20" t="n"/>
      <c r="AB517" s="20" t="n"/>
      <c r="AC517" s="21">
        <f>IF(W517="","",W517-K517)</f>
        <v/>
      </c>
      <c r="AD517" s="21">
        <f>IF(X517="","",X517-L517)</f>
        <v/>
      </c>
      <c r="AE517" s="21">
        <f>IF(Y517="","",Y517-M517)</f>
        <v/>
      </c>
      <c r="AF517" s="21">
        <f>IF(Z517="","",Z517-N517)</f>
        <v/>
      </c>
      <c r="AG517" s="21">
        <f>IF(AA517="","",AA517-O517)</f>
        <v/>
      </c>
      <c r="AH517" s="21">
        <f>IF(AB517="","",AB517-P517)</f>
        <v/>
      </c>
      <c r="AI517" s="18">
        <f>IF(COUNTA(W517:AB517)=0,"未入力",IF(COUNTA(W517:AB517)&lt;6,"一部入力",IF(COUNTIF(AC517:AH517,0)=6,"一致","差分あり")))</f>
        <v/>
      </c>
      <c r="AJ5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7" s="19" t="inlineStr"/>
      <c r="AL517" s="18" t="inlineStr">
        <is>
          <t>2026-06-29</t>
        </is>
      </c>
    </row>
    <row r="518" ht="22" customHeight="1">
      <c r="A518" s="17" t="inlineStr">
        <is>
          <t>1006503-LB4</t>
        </is>
      </c>
      <c r="B518" s="18" t="n">
        <v>1006503</v>
      </c>
      <c r="C518" s="17" t="inlineStr">
        <is>
          <t>IrOhshima03</t>
        </is>
      </c>
      <c r="D518" s="17" t="inlineStr">
        <is>
          <t>IrOhshima</t>
        </is>
      </c>
      <c r="E518" s="17" t="inlineStr">
        <is>
          <t>大島 五十鈴</t>
        </is>
      </c>
      <c r="F518" s="19" t="inlineStr">
        <is>
          <t>勝利への鍵</t>
        </is>
      </c>
      <c r="G518" s="18" t="inlineStr">
        <is>
          <t>SS</t>
        </is>
      </c>
      <c r="H518" s="17" t="inlineStr">
        <is>
          <t>Debuffer</t>
        </is>
      </c>
      <c r="I518" s="18" t="n">
        <v>4</v>
      </c>
      <c r="J518" s="18" t="n">
        <v>4</v>
      </c>
      <c r="K518" s="18" t="n">
        <v>428</v>
      </c>
      <c r="L518" s="18" t="n">
        <v>493</v>
      </c>
      <c r="M518" s="18" t="n">
        <v>484</v>
      </c>
      <c r="N518" s="18" t="n">
        <v>459</v>
      </c>
      <c r="O518" s="18" t="n">
        <v>477</v>
      </c>
      <c r="P518" s="18" t="n">
        <v>451</v>
      </c>
      <c r="Q518" s="18" t="n">
        <v>43</v>
      </c>
      <c r="R518" s="18" t="n">
        <v>50</v>
      </c>
      <c r="S518" s="18" t="n">
        <v>49</v>
      </c>
      <c r="T518" s="18" t="n">
        <v>46</v>
      </c>
      <c r="U518" s="18" t="n">
        <v>48</v>
      </c>
      <c r="V518" s="18" t="n">
        <v>46</v>
      </c>
      <c r="W518" s="20" t="n"/>
      <c r="X518" s="20" t="n"/>
      <c r="Y518" s="20" t="n"/>
      <c r="Z518" s="20" t="n"/>
      <c r="AA518" s="20" t="n"/>
      <c r="AB518" s="20" t="n"/>
      <c r="AC518" s="21">
        <f>IF(W518="","",W518-K518)</f>
        <v/>
      </c>
      <c r="AD518" s="21">
        <f>IF(X518="","",X518-L518)</f>
        <v/>
      </c>
      <c r="AE518" s="21">
        <f>IF(Y518="","",Y518-M518)</f>
        <v/>
      </c>
      <c r="AF518" s="21">
        <f>IF(Z518="","",Z518-N518)</f>
        <v/>
      </c>
      <c r="AG518" s="21">
        <f>IF(AA518="","",AA518-O518)</f>
        <v/>
      </c>
      <c r="AH518" s="21">
        <f>IF(AB518="","",AB518-P518)</f>
        <v/>
      </c>
      <c r="AI518" s="18">
        <f>IF(COUNTA(W518:AB518)=0,"未入力",IF(COUNTA(W518:AB518)&lt;6,"一部入力",IF(COUNTIF(AC518:AH518,0)=6,"一致","差分あり")))</f>
        <v/>
      </c>
      <c r="AJ5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8" s="19" t="inlineStr"/>
      <c r="AL518" s="18" t="inlineStr">
        <is>
          <t>2026-06-29</t>
        </is>
      </c>
    </row>
    <row r="519" ht="22" customHeight="1">
      <c r="A519" s="17" t="inlineStr">
        <is>
          <t>1006504-LB0</t>
        </is>
      </c>
      <c r="B519" s="18" t="n">
        <v>1006504</v>
      </c>
      <c r="C519" s="17" t="inlineStr">
        <is>
          <t>IrOhshima04</t>
        </is>
      </c>
      <c r="D519" s="17" t="inlineStr">
        <is>
          <t>IrOhshima</t>
        </is>
      </c>
      <c r="E519" s="17" t="inlineStr">
        <is>
          <t>大島 五十鈴</t>
        </is>
      </c>
      <c r="F519" s="19" t="inlineStr">
        <is>
          <t>湯上がり夢現郷</t>
        </is>
      </c>
      <c r="G519" s="18" t="inlineStr">
        <is>
          <t>SS</t>
        </is>
      </c>
      <c r="H519" s="17" t="inlineStr">
        <is>
          <t>Debuffer</t>
        </is>
      </c>
      <c r="I519" s="18" t="n">
        <v>0</v>
      </c>
      <c r="J519" s="18" t="n">
        <v>4</v>
      </c>
      <c r="K519" s="18" t="n">
        <v>397</v>
      </c>
      <c r="L519" s="18" t="n">
        <v>394</v>
      </c>
      <c r="M519" s="18" t="n">
        <v>452</v>
      </c>
      <c r="N519" s="18" t="n">
        <v>419</v>
      </c>
      <c r="O519" s="18" t="n">
        <v>386</v>
      </c>
      <c r="P519" s="18" t="n">
        <v>353</v>
      </c>
      <c r="Q519" s="18" t="n">
        <v>40</v>
      </c>
      <c r="R519" s="18" t="n">
        <v>40</v>
      </c>
      <c r="S519" s="18" t="n">
        <v>46</v>
      </c>
      <c r="T519" s="18" t="n">
        <v>42</v>
      </c>
      <c r="U519" s="18" t="n">
        <v>39</v>
      </c>
      <c r="V519" s="18" t="n">
        <v>36</v>
      </c>
      <c r="W519" s="20" t="n"/>
      <c r="X519" s="20" t="n"/>
      <c r="Y519" s="20" t="n"/>
      <c r="Z519" s="20" t="n"/>
      <c r="AA519" s="20" t="n"/>
      <c r="AB519" s="20" t="n"/>
      <c r="AC519" s="21">
        <f>IF(W519="","",W519-K519)</f>
        <v/>
      </c>
      <c r="AD519" s="21">
        <f>IF(X519="","",X519-L519)</f>
        <v/>
      </c>
      <c r="AE519" s="21">
        <f>IF(Y519="","",Y519-M519)</f>
        <v/>
      </c>
      <c r="AF519" s="21">
        <f>IF(Z519="","",Z519-N519)</f>
        <v/>
      </c>
      <c r="AG519" s="21">
        <f>IF(AA519="","",AA519-O519)</f>
        <v/>
      </c>
      <c r="AH519" s="21">
        <f>IF(AB519="","",AB519-P519)</f>
        <v/>
      </c>
      <c r="AI519" s="18">
        <f>IF(COUNTA(W519:AB519)=0,"未入力",IF(COUNTA(W519:AB519)&lt;6,"一部入力",IF(COUNTIF(AC519:AH519,0)=6,"一致","差分あり")))</f>
        <v/>
      </c>
      <c r="AJ5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19" s="19" t="inlineStr"/>
      <c r="AL519" s="18" t="inlineStr">
        <is>
          <t>2026-06-29</t>
        </is>
      </c>
    </row>
    <row r="520" ht="22" customHeight="1">
      <c r="A520" s="17" t="inlineStr">
        <is>
          <t>1006504-LB4</t>
        </is>
      </c>
      <c r="B520" s="18" t="n">
        <v>1006504</v>
      </c>
      <c r="C520" s="17" t="inlineStr">
        <is>
          <t>IrOhshima04</t>
        </is>
      </c>
      <c r="D520" s="17" t="inlineStr">
        <is>
          <t>IrOhshima</t>
        </is>
      </c>
      <c r="E520" s="17" t="inlineStr">
        <is>
          <t>大島 五十鈴</t>
        </is>
      </c>
      <c r="F520" s="19" t="inlineStr">
        <is>
          <t>湯上がり夢現郷</t>
        </is>
      </c>
      <c r="G520" s="18" t="inlineStr">
        <is>
          <t>SS</t>
        </is>
      </c>
      <c r="H520" s="17" t="inlineStr">
        <is>
          <t>Debuffer</t>
        </is>
      </c>
      <c r="I520" s="18" t="n">
        <v>4</v>
      </c>
      <c r="J520" s="18" t="n">
        <v>4</v>
      </c>
      <c r="K520" s="18" t="n">
        <v>484</v>
      </c>
      <c r="L520" s="18" t="n">
        <v>480</v>
      </c>
      <c r="M520" s="18" t="n">
        <v>543</v>
      </c>
      <c r="N520" s="18" t="n">
        <v>508</v>
      </c>
      <c r="O520" s="18" t="n">
        <v>473</v>
      </c>
      <c r="P520" s="18" t="n">
        <v>438</v>
      </c>
      <c r="Q520" s="18" t="n">
        <v>49</v>
      </c>
      <c r="R520" s="18" t="n">
        <v>48</v>
      </c>
      <c r="S520" s="18" t="n">
        <v>55</v>
      </c>
      <c r="T520" s="18" t="n">
        <v>51</v>
      </c>
      <c r="U520" s="18" t="n">
        <v>48</v>
      </c>
      <c r="V520" s="18" t="n">
        <v>44</v>
      </c>
      <c r="W520" s="20" t="n"/>
      <c r="X520" s="20" t="n"/>
      <c r="Y520" s="20" t="n"/>
      <c r="Z520" s="20" t="n"/>
      <c r="AA520" s="20" t="n"/>
      <c r="AB520" s="20" t="n"/>
      <c r="AC520" s="21">
        <f>IF(W520="","",W520-K520)</f>
        <v/>
      </c>
      <c r="AD520" s="21">
        <f>IF(X520="","",X520-L520)</f>
        <v/>
      </c>
      <c r="AE520" s="21">
        <f>IF(Y520="","",Y520-M520)</f>
        <v/>
      </c>
      <c r="AF520" s="21">
        <f>IF(Z520="","",Z520-N520)</f>
        <v/>
      </c>
      <c r="AG520" s="21">
        <f>IF(AA520="","",AA520-O520)</f>
        <v/>
      </c>
      <c r="AH520" s="21">
        <f>IF(AB520="","",AB520-P520)</f>
        <v/>
      </c>
      <c r="AI520" s="18">
        <f>IF(COUNTA(W520:AB520)=0,"未入力",IF(COUNTA(W520:AB520)&lt;6,"一部入力",IF(COUNTIF(AC520:AH520,0)=6,"一致","差分あり")))</f>
        <v/>
      </c>
      <c r="AJ5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0" s="19" t="inlineStr"/>
      <c r="AL520" s="18" t="inlineStr">
        <is>
          <t>2026-06-29</t>
        </is>
      </c>
    </row>
    <row r="521" ht="22" customHeight="1">
      <c r="A521" s="17" t="inlineStr">
        <is>
          <t>1006505-LB0</t>
        </is>
      </c>
      <c r="B521" s="18" t="n">
        <v>1006505</v>
      </c>
      <c r="C521" s="17" t="inlineStr">
        <is>
          <t>IrOhshima05</t>
        </is>
      </c>
      <c r="D521" s="17" t="inlineStr">
        <is>
          <t>IrOhshima</t>
        </is>
      </c>
      <c r="E521" s="17" t="inlineStr">
        <is>
          <t>大島 五十鈴</t>
        </is>
      </c>
      <c r="F521" s="19" t="inlineStr">
        <is>
          <t>Magic of Smile</t>
        </is>
      </c>
      <c r="G521" s="18" t="inlineStr">
        <is>
          <t>SS</t>
        </is>
      </c>
      <c r="H521" s="17" t="inlineStr">
        <is>
          <t>Debuffer</t>
        </is>
      </c>
      <c r="I521" s="18" t="n">
        <v>0</v>
      </c>
      <c r="J521" s="18" t="n">
        <v>4</v>
      </c>
      <c r="K521" s="18" t="n">
        <v>397</v>
      </c>
      <c r="L521" s="18" t="n">
        <v>394</v>
      </c>
      <c r="M521" s="18" t="n">
        <v>452</v>
      </c>
      <c r="N521" s="18" t="n">
        <v>419</v>
      </c>
      <c r="O521" s="18" t="n">
        <v>386</v>
      </c>
      <c r="P521" s="18" t="n">
        <v>353</v>
      </c>
      <c r="Q521" s="18" t="n">
        <v>40</v>
      </c>
      <c r="R521" s="18" t="n">
        <v>40</v>
      </c>
      <c r="S521" s="18" t="n">
        <v>46</v>
      </c>
      <c r="T521" s="18" t="n">
        <v>42</v>
      </c>
      <c r="U521" s="18" t="n">
        <v>39</v>
      </c>
      <c r="V521" s="18" t="n">
        <v>36</v>
      </c>
      <c r="W521" s="20" t="n"/>
      <c r="X521" s="20" t="n"/>
      <c r="Y521" s="20" t="n"/>
      <c r="Z521" s="20" t="n"/>
      <c r="AA521" s="20" t="n"/>
      <c r="AB521" s="20" t="n"/>
      <c r="AC521" s="21">
        <f>IF(W521="","",W521-K521)</f>
        <v/>
      </c>
      <c r="AD521" s="21">
        <f>IF(X521="","",X521-L521)</f>
        <v/>
      </c>
      <c r="AE521" s="21">
        <f>IF(Y521="","",Y521-M521)</f>
        <v/>
      </c>
      <c r="AF521" s="21">
        <f>IF(Z521="","",Z521-N521)</f>
        <v/>
      </c>
      <c r="AG521" s="21">
        <f>IF(AA521="","",AA521-O521)</f>
        <v/>
      </c>
      <c r="AH521" s="21">
        <f>IF(AB521="","",AB521-P521)</f>
        <v/>
      </c>
      <c r="AI521" s="18">
        <f>IF(COUNTA(W521:AB521)=0,"未入力",IF(COUNTA(W521:AB521)&lt;6,"一部入力",IF(COUNTIF(AC521:AH521,0)=6,"一致","差分あり")))</f>
        <v/>
      </c>
      <c r="AJ5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1" s="19" t="inlineStr"/>
      <c r="AL521" s="18" t="inlineStr">
        <is>
          <t>2026-06-29</t>
        </is>
      </c>
    </row>
    <row r="522" ht="22" customHeight="1">
      <c r="A522" s="17" t="inlineStr">
        <is>
          <t>1006505-LB4</t>
        </is>
      </c>
      <c r="B522" s="18" t="n">
        <v>1006505</v>
      </c>
      <c r="C522" s="17" t="inlineStr">
        <is>
          <t>IrOhshima05</t>
        </is>
      </c>
      <c r="D522" s="17" t="inlineStr">
        <is>
          <t>IrOhshima</t>
        </is>
      </c>
      <c r="E522" s="17" t="inlineStr">
        <is>
          <t>大島 五十鈴</t>
        </is>
      </c>
      <c r="F522" s="19" t="inlineStr">
        <is>
          <t>Magic of Smile</t>
        </is>
      </c>
      <c r="G522" s="18" t="inlineStr">
        <is>
          <t>SS</t>
        </is>
      </c>
      <c r="H522" s="17" t="inlineStr">
        <is>
          <t>Debuffer</t>
        </is>
      </c>
      <c r="I522" s="18" t="n">
        <v>4</v>
      </c>
      <c r="J522" s="18" t="n">
        <v>4</v>
      </c>
      <c r="K522" s="18" t="n">
        <v>484</v>
      </c>
      <c r="L522" s="18" t="n">
        <v>480</v>
      </c>
      <c r="M522" s="18" t="n">
        <v>543</v>
      </c>
      <c r="N522" s="18" t="n">
        <v>508</v>
      </c>
      <c r="O522" s="18" t="n">
        <v>473</v>
      </c>
      <c r="P522" s="18" t="n">
        <v>438</v>
      </c>
      <c r="Q522" s="18" t="n">
        <v>49</v>
      </c>
      <c r="R522" s="18" t="n">
        <v>48</v>
      </c>
      <c r="S522" s="18" t="n">
        <v>55</v>
      </c>
      <c r="T522" s="18" t="n">
        <v>51</v>
      </c>
      <c r="U522" s="18" t="n">
        <v>48</v>
      </c>
      <c r="V522" s="18" t="n">
        <v>44</v>
      </c>
      <c r="W522" s="20" t="n"/>
      <c r="X522" s="20" t="n"/>
      <c r="Y522" s="20" t="n"/>
      <c r="Z522" s="20" t="n"/>
      <c r="AA522" s="20" t="n"/>
      <c r="AB522" s="20" t="n"/>
      <c r="AC522" s="21">
        <f>IF(W522="","",W522-K522)</f>
        <v/>
      </c>
      <c r="AD522" s="21">
        <f>IF(X522="","",X522-L522)</f>
        <v/>
      </c>
      <c r="AE522" s="21">
        <f>IF(Y522="","",Y522-M522)</f>
        <v/>
      </c>
      <c r="AF522" s="21">
        <f>IF(Z522="","",Z522-N522)</f>
        <v/>
      </c>
      <c r="AG522" s="21">
        <f>IF(AA522="","",AA522-O522)</f>
        <v/>
      </c>
      <c r="AH522" s="21">
        <f>IF(AB522="","",AB522-P522)</f>
        <v/>
      </c>
      <c r="AI522" s="18">
        <f>IF(COUNTA(W522:AB522)=0,"未入力",IF(COUNTA(W522:AB522)&lt;6,"一部入力",IF(COUNTIF(AC522:AH522,0)=6,"一致","差分あり")))</f>
        <v/>
      </c>
      <c r="AJ5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2" s="19" t="inlineStr"/>
      <c r="AL522" s="18" t="inlineStr">
        <is>
          <t>2026-06-29</t>
        </is>
      </c>
    </row>
    <row r="523" ht="22" customHeight="1">
      <c r="A523" s="17" t="inlineStr">
        <is>
          <t>1006506-LB0</t>
        </is>
      </c>
      <c r="B523" s="18" t="n">
        <v>1006506</v>
      </c>
      <c r="C523" s="17" t="inlineStr">
        <is>
          <t>IrOhshima06</t>
        </is>
      </c>
      <c r="D523" s="17" t="inlineStr">
        <is>
          <t>IrOhshima</t>
        </is>
      </c>
      <c r="E523" s="17" t="inlineStr">
        <is>
          <t>大島 五十鈴</t>
        </is>
      </c>
      <c r="F523" s="19" t="inlineStr">
        <is>
          <t>夜語りのひとしずく</t>
        </is>
      </c>
      <c r="G523" s="18" t="inlineStr">
        <is>
          <t>SS</t>
        </is>
      </c>
      <c r="H523" s="17" t="inlineStr">
        <is>
          <t>Buffer</t>
        </is>
      </c>
      <c r="I523" s="18" t="n">
        <v>0</v>
      </c>
      <c r="J523" s="18" t="n">
        <v>4</v>
      </c>
      <c r="K523" s="18" t="n">
        <v>397</v>
      </c>
      <c r="L523" s="18" t="n">
        <v>394</v>
      </c>
      <c r="M523" s="18" t="n">
        <v>452</v>
      </c>
      <c r="N523" s="18" t="n">
        <v>419</v>
      </c>
      <c r="O523" s="18" t="n">
        <v>386</v>
      </c>
      <c r="P523" s="18" t="n">
        <v>353</v>
      </c>
      <c r="Q523" s="18" t="n">
        <v>40</v>
      </c>
      <c r="R523" s="18" t="n">
        <v>40</v>
      </c>
      <c r="S523" s="18" t="n">
        <v>46</v>
      </c>
      <c r="T523" s="18" t="n">
        <v>42</v>
      </c>
      <c r="U523" s="18" t="n">
        <v>39</v>
      </c>
      <c r="V523" s="18" t="n">
        <v>36</v>
      </c>
      <c r="W523" s="20" t="n"/>
      <c r="X523" s="20" t="n"/>
      <c r="Y523" s="20" t="n"/>
      <c r="Z523" s="20" t="n"/>
      <c r="AA523" s="20" t="n"/>
      <c r="AB523" s="20" t="n"/>
      <c r="AC523" s="21">
        <f>IF(W523="","",W523-K523)</f>
        <v/>
      </c>
      <c r="AD523" s="21">
        <f>IF(X523="","",X523-L523)</f>
        <v/>
      </c>
      <c r="AE523" s="21">
        <f>IF(Y523="","",Y523-M523)</f>
        <v/>
      </c>
      <c r="AF523" s="21">
        <f>IF(Z523="","",Z523-N523)</f>
        <v/>
      </c>
      <c r="AG523" s="21">
        <f>IF(AA523="","",AA523-O523)</f>
        <v/>
      </c>
      <c r="AH523" s="21">
        <f>IF(AB523="","",AB523-P523)</f>
        <v/>
      </c>
      <c r="AI523" s="18">
        <f>IF(COUNTA(W523:AB523)=0,"未入力",IF(COUNTA(W523:AB523)&lt;6,"一部入力",IF(COUNTIF(AC523:AH523,0)=6,"一致","差分あり")))</f>
        <v/>
      </c>
      <c r="AJ5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3" s="19" t="inlineStr"/>
      <c r="AL523" s="18" t="inlineStr">
        <is>
          <t>2026-06-29</t>
        </is>
      </c>
    </row>
    <row r="524" ht="22" customHeight="1">
      <c r="A524" s="17" t="inlineStr">
        <is>
          <t>1006506-LB4</t>
        </is>
      </c>
      <c r="B524" s="18" t="n">
        <v>1006506</v>
      </c>
      <c r="C524" s="17" t="inlineStr">
        <is>
          <t>IrOhshima06</t>
        </is>
      </c>
      <c r="D524" s="17" t="inlineStr">
        <is>
          <t>IrOhshima</t>
        </is>
      </c>
      <c r="E524" s="17" t="inlineStr">
        <is>
          <t>大島 五十鈴</t>
        </is>
      </c>
      <c r="F524" s="19" t="inlineStr">
        <is>
          <t>夜語りのひとしずく</t>
        </is>
      </c>
      <c r="G524" s="18" t="inlineStr">
        <is>
          <t>SS</t>
        </is>
      </c>
      <c r="H524" s="17" t="inlineStr">
        <is>
          <t>Buffer</t>
        </is>
      </c>
      <c r="I524" s="18" t="n">
        <v>4</v>
      </c>
      <c r="J524" s="18" t="n">
        <v>4</v>
      </c>
      <c r="K524" s="18" t="n">
        <v>484</v>
      </c>
      <c r="L524" s="18" t="n">
        <v>480</v>
      </c>
      <c r="M524" s="18" t="n">
        <v>543</v>
      </c>
      <c r="N524" s="18" t="n">
        <v>508</v>
      </c>
      <c r="O524" s="18" t="n">
        <v>473</v>
      </c>
      <c r="P524" s="18" t="n">
        <v>438</v>
      </c>
      <c r="Q524" s="18" t="n">
        <v>49</v>
      </c>
      <c r="R524" s="18" t="n">
        <v>48</v>
      </c>
      <c r="S524" s="18" t="n">
        <v>55</v>
      </c>
      <c r="T524" s="18" t="n">
        <v>51</v>
      </c>
      <c r="U524" s="18" t="n">
        <v>48</v>
      </c>
      <c r="V524" s="18" t="n">
        <v>44</v>
      </c>
      <c r="W524" s="20" t="n"/>
      <c r="X524" s="20" t="n"/>
      <c r="Y524" s="20" t="n"/>
      <c r="Z524" s="20" t="n"/>
      <c r="AA524" s="20" t="n"/>
      <c r="AB524" s="20" t="n"/>
      <c r="AC524" s="21">
        <f>IF(W524="","",W524-K524)</f>
        <v/>
      </c>
      <c r="AD524" s="21">
        <f>IF(X524="","",X524-L524)</f>
        <v/>
      </c>
      <c r="AE524" s="21">
        <f>IF(Y524="","",Y524-M524)</f>
        <v/>
      </c>
      <c r="AF524" s="21">
        <f>IF(Z524="","",Z524-N524)</f>
        <v/>
      </c>
      <c r="AG524" s="21">
        <f>IF(AA524="","",AA524-O524)</f>
        <v/>
      </c>
      <c r="AH524" s="21">
        <f>IF(AB524="","",AB524-P524)</f>
        <v/>
      </c>
      <c r="AI524" s="18">
        <f>IF(COUNTA(W524:AB524)=0,"未入力",IF(COUNTA(W524:AB524)&lt;6,"一部入力",IF(COUNTIF(AC524:AH524,0)=6,"一致","差分あり")))</f>
        <v/>
      </c>
      <c r="AJ5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4" s="19" t="inlineStr"/>
      <c r="AL524" s="18" t="inlineStr">
        <is>
          <t>2026-06-29</t>
        </is>
      </c>
    </row>
    <row r="525" ht="22" customHeight="1">
      <c r="A525" s="17" t="inlineStr">
        <is>
          <t>1006601-LB0</t>
        </is>
      </c>
      <c r="B525" s="18" t="n">
        <v>1006601</v>
      </c>
      <c r="C525" s="17" t="inlineStr">
        <is>
          <t>MuOhshima01</t>
        </is>
      </c>
      <c r="D525" s="17" t="inlineStr">
        <is>
          <t>MuOhshima</t>
        </is>
      </c>
      <c r="E525" s="17" t="inlineStr">
        <is>
          <t>大島 六宇亜</t>
        </is>
      </c>
      <c r="F525" s="19" t="inlineStr">
        <is>
          <t>六宇亜の陶酔</t>
        </is>
      </c>
      <c r="G525" s="18" t="inlineStr">
        <is>
          <t>A</t>
        </is>
      </c>
      <c r="H525" s="17" t="inlineStr">
        <is>
          <t>Healer</t>
        </is>
      </c>
      <c r="I525" s="18" t="n">
        <v>0</v>
      </c>
      <c r="J525" s="18" t="n">
        <v>20</v>
      </c>
      <c r="K525" s="18" t="n">
        <v>243</v>
      </c>
      <c r="L525" s="18" t="n">
        <v>288</v>
      </c>
      <c r="M525" s="18" t="n">
        <v>288</v>
      </c>
      <c r="N525" s="18" t="n">
        <v>247</v>
      </c>
      <c r="O525" s="18" t="n">
        <v>285</v>
      </c>
      <c r="P525" s="18" t="n">
        <v>280</v>
      </c>
      <c r="Q525" s="18" t="n">
        <v>25</v>
      </c>
      <c r="R525" s="18" t="n">
        <v>29</v>
      </c>
      <c r="S525" s="18" t="n">
        <v>29</v>
      </c>
      <c r="T525" s="18" t="n">
        <v>25</v>
      </c>
      <c r="U525" s="18" t="n">
        <v>29</v>
      </c>
      <c r="V525" s="18" t="n">
        <v>28</v>
      </c>
      <c r="W525" s="20" t="n"/>
      <c r="X525" s="20" t="n"/>
      <c r="Y525" s="20" t="n"/>
      <c r="Z525" s="20" t="n"/>
      <c r="AA525" s="20" t="n"/>
      <c r="AB525" s="20" t="n"/>
      <c r="AC525" s="21">
        <f>IF(W525="","",W525-K525)</f>
        <v/>
      </c>
      <c r="AD525" s="21">
        <f>IF(X525="","",X525-L525)</f>
        <v/>
      </c>
      <c r="AE525" s="21">
        <f>IF(Y525="","",Y525-M525)</f>
        <v/>
      </c>
      <c r="AF525" s="21">
        <f>IF(Z525="","",Z525-N525)</f>
        <v/>
      </c>
      <c r="AG525" s="21">
        <f>IF(AA525="","",AA525-O525)</f>
        <v/>
      </c>
      <c r="AH525" s="21">
        <f>IF(AB525="","",AB525-P525)</f>
        <v/>
      </c>
      <c r="AI525" s="18">
        <f>IF(COUNTA(W525:AB525)=0,"未入力",IF(COUNTA(W525:AB525)&lt;6,"一部入力",IF(COUNTIF(AC525:AH525,0)=6,"一致","差分あり")))</f>
        <v/>
      </c>
      <c r="AJ5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5" s="19" t="inlineStr"/>
      <c r="AL525" s="18" t="inlineStr">
        <is>
          <t>2026-06-29</t>
        </is>
      </c>
    </row>
    <row r="526" ht="22" customHeight="1">
      <c r="A526" s="17" t="inlineStr">
        <is>
          <t>1006601-LB20</t>
        </is>
      </c>
      <c r="B526" s="18" t="n">
        <v>1006601</v>
      </c>
      <c r="C526" s="17" t="inlineStr">
        <is>
          <t>MuOhshima01</t>
        </is>
      </c>
      <c r="D526" s="17" t="inlineStr">
        <is>
          <t>MuOhshima</t>
        </is>
      </c>
      <c r="E526" s="17" t="inlineStr">
        <is>
          <t>大島 六宇亜</t>
        </is>
      </c>
      <c r="F526" s="19" t="inlineStr">
        <is>
          <t>六宇亜の陶酔</t>
        </is>
      </c>
      <c r="G526" s="18" t="inlineStr">
        <is>
          <t>A</t>
        </is>
      </c>
      <c r="H526" s="17" t="inlineStr">
        <is>
          <t>Healer</t>
        </is>
      </c>
      <c r="I526" s="18" t="n">
        <v>20</v>
      </c>
      <c r="J526" s="18" t="n">
        <v>20</v>
      </c>
      <c r="K526" s="18" t="n">
        <v>286</v>
      </c>
      <c r="L526" s="18" t="n">
        <v>332</v>
      </c>
      <c r="M526" s="18" t="n">
        <v>333</v>
      </c>
      <c r="N526" s="18" t="n">
        <v>291</v>
      </c>
      <c r="O526" s="18" t="n">
        <v>328</v>
      </c>
      <c r="P526" s="18" t="n">
        <v>324</v>
      </c>
      <c r="Q526" s="18" t="n">
        <v>29</v>
      </c>
      <c r="R526" s="18" t="n">
        <v>34</v>
      </c>
      <c r="S526" s="18" t="n">
        <v>34</v>
      </c>
      <c r="T526" s="18" t="n">
        <v>30</v>
      </c>
      <c r="U526" s="18" t="n">
        <v>33</v>
      </c>
      <c r="V526" s="18" t="n">
        <v>33</v>
      </c>
      <c r="W526" s="20" t="n"/>
      <c r="X526" s="20" t="n"/>
      <c r="Y526" s="20" t="n"/>
      <c r="Z526" s="20" t="n"/>
      <c r="AA526" s="20" t="n"/>
      <c r="AB526" s="20" t="n"/>
      <c r="AC526" s="21">
        <f>IF(W526="","",W526-K526)</f>
        <v/>
      </c>
      <c r="AD526" s="21">
        <f>IF(X526="","",X526-L526)</f>
        <v/>
      </c>
      <c r="AE526" s="21">
        <f>IF(Y526="","",Y526-M526)</f>
        <v/>
      </c>
      <c r="AF526" s="21">
        <f>IF(Z526="","",Z526-N526)</f>
        <v/>
      </c>
      <c r="AG526" s="21">
        <f>IF(AA526="","",AA526-O526)</f>
        <v/>
      </c>
      <c r="AH526" s="21">
        <f>IF(AB526="","",AB526-P526)</f>
        <v/>
      </c>
      <c r="AI526" s="18">
        <f>IF(COUNTA(W526:AB526)=0,"未入力",IF(COUNTA(W526:AB526)&lt;6,"一部入力",IF(COUNTIF(AC526:AH526,0)=6,"一致","差分あり")))</f>
        <v/>
      </c>
      <c r="AJ5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6" s="19" t="inlineStr"/>
      <c r="AL526" s="18" t="inlineStr">
        <is>
          <t>2026-06-29</t>
        </is>
      </c>
    </row>
    <row r="527" ht="22" customHeight="1">
      <c r="A527" s="17" t="inlineStr">
        <is>
          <t>1006602-LB0</t>
        </is>
      </c>
      <c r="B527" s="18" t="n">
        <v>1006602</v>
      </c>
      <c r="C527" s="17" t="inlineStr">
        <is>
          <t>MuOhshima02</t>
        </is>
      </c>
      <c r="D527" s="17" t="inlineStr">
        <is>
          <t>MuOhshima</t>
        </is>
      </c>
      <c r="E527" s="17" t="inlineStr">
        <is>
          <t>大島 六宇亜</t>
        </is>
      </c>
      <c r="F527" s="19" t="inlineStr">
        <is>
          <t>疾走エクスタシー</t>
        </is>
      </c>
      <c r="G527" s="18" t="inlineStr">
        <is>
          <t>S</t>
        </is>
      </c>
      <c r="H527" s="17" t="inlineStr">
        <is>
          <t>Healer</t>
        </is>
      </c>
      <c r="I527" s="18" t="n">
        <v>0</v>
      </c>
      <c r="J527" s="18" t="n">
        <v>10</v>
      </c>
      <c r="K527" s="18" t="n">
        <v>342</v>
      </c>
      <c r="L527" s="18" t="n">
        <v>305</v>
      </c>
      <c r="M527" s="18" t="n">
        <v>315</v>
      </c>
      <c r="N527" s="18" t="n">
        <v>318</v>
      </c>
      <c r="O527" s="18" t="n">
        <v>312</v>
      </c>
      <c r="P527" s="18" t="n">
        <v>351</v>
      </c>
      <c r="Q527" s="18" t="n">
        <v>35</v>
      </c>
      <c r="R527" s="18" t="n">
        <v>31</v>
      </c>
      <c r="S527" s="18" t="n">
        <v>32</v>
      </c>
      <c r="T527" s="18" t="n">
        <v>32</v>
      </c>
      <c r="U527" s="18" t="n">
        <v>32</v>
      </c>
      <c r="V527" s="18" t="n">
        <v>36</v>
      </c>
      <c r="W527" s="20" t="n"/>
      <c r="X527" s="20" t="n"/>
      <c r="Y527" s="20" t="n"/>
      <c r="Z527" s="20" t="n"/>
      <c r="AA527" s="20" t="n"/>
      <c r="AB527" s="20" t="n"/>
      <c r="AC527" s="21">
        <f>IF(W527="","",W527-K527)</f>
        <v/>
      </c>
      <c r="AD527" s="21">
        <f>IF(X527="","",X527-L527)</f>
        <v/>
      </c>
      <c r="AE527" s="21">
        <f>IF(Y527="","",Y527-M527)</f>
        <v/>
      </c>
      <c r="AF527" s="21">
        <f>IF(Z527="","",Z527-N527)</f>
        <v/>
      </c>
      <c r="AG527" s="21">
        <f>IF(AA527="","",AA527-O527)</f>
        <v/>
      </c>
      <c r="AH527" s="21">
        <f>IF(AB527="","",AB527-P527)</f>
        <v/>
      </c>
      <c r="AI527" s="18">
        <f>IF(COUNTA(W527:AB527)=0,"未入力",IF(COUNTA(W527:AB527)&lt;6,"一部入力",IF(COUNTIF(AC527:AH527,0)=6,"一致","差分あり")))</f>
        <v/>
      </c>
      <c r="AJ5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7" s="19" t="inlineStr"/>
      <c r="AL527" s="18" t="inlineStr">
        <is>
          <t>2026-06-29</t>
        </is>
      </c>
    </row>
    <row r="528" ht="22" customHeight="1">
      <c r="A528" s="17" t="inlineStr">
        <is>
          <t>1006602-LB10</t>
        </is>
      </c>
      <c r="B528" s="18" t="n">
        <v>1006602</v>
      </c>
      <c r="C528" s="17" t="inlineStr">
        <is>
          <t>MuOhshima02</t>
        </is>
      </c>
      <c r="D528" s="17" t="inlineStr">
        <is>
          <t>MuOhshima</t>
        </is>
      </c>
      <c r="E528" s="17" t="inlineStr">
        <is>
          <t>大島 六宇亜</t>
        </is>
      </c>
      <c r="F528" s="19" t="inlineStr">
        <is>
          <t>疾走エクスタシー</t>
        </is>
      </c>
      <c r="G528" s="18" t="inlineStr">
        <is>
          <t>S</t>
        </is>
      </c>
      <c r="H528" s="17" t="inlineStr">
        <is>
          <t>Healer</t>
        </is>
      </c>
      <c r="I528" s="18" t="n">
        <v>10</v>
      </c>
      <c r="J528" s="18" t="n">
        <v>10</v>
      </c>
      <c r="K528" s="18" t="n">
        <v>410</v>
      </c>
      <c r="L528" s="18" t="n">
        <v>370</v>
      </c>
      <c r="M528" s="18" t="n">
        <v>383</v>
      </c>
      <c r="N528" s="18" t="n">
        <v>384</v>
      </c>
      <c r="O528" s="18" t="n">
        <v>376</v>
      </c>
      <c r="P528" s="18" t="n">
        <v>417</v>
      </c>
      <c r="Q528" s="18" t="n">
        <v>41</v>
      </c>
      <c r="R528" s="18" t="n">
        <v>37</v>
      </c>
      <c r="S528" s="18" t="n">
        <v>39</v>
      </c>
      <c r="T528" s="18" t="n">
        <v>39</v>
      </c>
      <c r="U528" s="18" t="n">
        <v>38</v>
      </c>
      <c r="V528" s="18" t="n">
        <v>42</v>
      </c>
      <c r="W528" s="20" t="n"/>
      <c r="X528" s="20" t="n"/>
      <c r="Y528" s="20" t="n"/>
      <c r="Z528" s="20" t="n"/>
      <c r="AA528" s="20" t="n"/>
      <c r="AB528" s="20" t="n"/>
      <c r="AC528" s="21">
        <f>IF(W528="","",W528-K528)</f>
        <v/>
      </c>
      <c r="AD528" s="21">
        <f>IF(X528="","",X528-L528)</f>
        <v/>
      </c>
      <c r="AE528" s="21">
        <f>IF(Y528="","",Y528-M528)</f>
        <v/>
      </c>
      <c r="AF528" s="21">
        <f>IF(Z528="","",Z528-N528)</f>
        <v/>
      </c>
      <c r="AG528" s="21">
        <f>IF(AA528="","",AA528-O528)</f>
        <v/>
      </c>
      <c r="AH528" s="21">
        <f>IF(AB528="","",AB528-P528)</f>
        <v/>
      </c>
      <c r="AI528" s="18">
        <f>IF(COUNTA(W528:AB528)=0,"未入力",IF(COUNTA(W528:AB528)&lt;6,"一部入力",IF(COUNTIF(AC528:AH528,0)=6,"一致","差分あり")))</f>
        <v/>
      </c>
      <c r="AJ5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8" s="19" t="inlineStr"/>
      <c r="AL528" s="18" t="inlineStr">
        <is>
          <t>2026-06-29</t>
        </is>
      </c>
    </row>
    <row r="529" ht="22" customHeight="1">
      <c r="A529" s="17" t="inlineStr">
        <is>
          <t>1006603-LB0</t>
        </is>
      </c>
      <c r="B529" s="18" t="n">
        <v>1006603</v>
      </c>
      <c r="C529" s="17" t="inlineStr">
        <is>
          <t>MuOhshima03</t>
        </is>
      </c>
      <c r="D529" s="17" t="inlineStr">
        <is>
          <t>MuOhshima</t>
        </is>
      </c>
      <c r="E529" s="17" t="inlineStr">
        <is>
          <t>大島 六宇亜</t>
        </is>
      </c>
      <c r="F529" s="19" t="inlineStr">
        <is>
          <t>ピンチで最高</t>
        </is>
      </c>
      <c r="G529" s="18" t="inlineStr">
        <is>
          <t>SS</t>
        </is>
      </c>
      <c r="H529" s="17" t="inlineStr">
        <is>
          <t>Healer</t>
        </is>
      </c>
      <c r="I529" s="18" t="n">
        <v>0</v>
      </c>
      <c r="J529" s="18" t="n">
        <v>4</v>
      </c>
      <c r="K529" s="18" t="n">
        <v>372</v>
      </c>
      <c r="L529" s="18" t="n">
        <v>375</v>
      </c>
      <c r="M529" s="18" t="n">
        <v>424</v>
      </c>
      <c r="N529" s="18" t="n">
        <v>391</v>
      </c>
      <c r="O529" s="18" t="n">
        <v>358</v>
      </c>
      <c r="P529" s="18" t="n">
        <v>343</v>
      </c>
      <c r="Q529" s="18" t="n">
        <v>38</v>
      </c>
      <c r="R529" s="18" t="n">
        <v>38</v>
      </c>
      <c r="S529" s="18" t="n">
        <v>43</v>
      </c>
      <c r="T529" s="18" t="n">
        <v>40</v>
      </c>
      <c r="U529" s="18" t="n">
        <v>36</v>
      </c>
      <c r="V529" s="18" t="n">
        <v>35</v>
      </c>
      <c r="W529" s="20" t="n"/>
      <c r="X529" s="20" t="n"/>
      <c r="Y529" s="20" t="n"/>
      <c r="Z529" s="20" t="n"/>
      <c r="AA529" s="20" t="n"/>
      <c r="AB529" s="20" t="n"/>
      <c r="AC529" s="21">
        <f>IF(W529="","",W529-K529)</f>
        <v/>
      </c>
      <c r="AD529" s="21">
        <f>IF(X529="","",X529-L529)</f>
        <v/>
      </c>
      <c r="AE529" s="21">
        <f>IF(Y529="","",Y529-M529)</f>
        <v/>
      </c>
      <c r="AF529" s="21">
        <f>IF(Z529="","",Z529-N529)</f>
        <v/>
      </c>
      <c r="AG529" s="21">
        <f>IF(AA529="","",AA529-O529)</f>
        <v/>
      </c>
      <c r="AH529" s="21">
        <f>IF(AB529="","",AB529-P529)</f>
        <v/>
      </c>
      <c r="AI529" s="18">
        <f>IF(COUNTA(W529:AB529)=0,"未入力",IF(COUNTA(W529:AB529)&lt;6,"一部入力",IF(COUNTIF(AC529:AH529,0)=6,"一致","差分あり")))</f>
        <v/>
      </c>
      <c r="AJ5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29" s="19" t="inlineStr"/>
      <c r="AL529" s="18" t="inlineStr">
        <is>
          <t>2026-06-29</t>
        </is>
      </c>
    </row>
    <row r="530" ht="22" customHeight="1">
      <c r="A530" s="17" t="inlineStr">
        <is>
          <t>1006603-LB4</t>
        </is>
      </c>
      <c r="B530" s="18" t="n">
        <v>1006603</v>
      </c>
      <c r="C530" s="17" t="inlineStr">
        <is>
          <t>MuOhshima03</t>
        </is>
      </c>
      <c r="D530" s="17" t="inlineStr">
        <is>
          <t>MuOhshima</t>
        </is>
      </c>
      <c r="E530" s="17" t="inlineStr">
        <is>
          <t>大島 六宇亜</t>
        </is>
      </c>
      <c r="F530" s="19" t="inlineStr">
        <is>
          <t>ピンチで最高</t>
        </is>
      </c>
      <c r="G530" s="18" t="inlineStr">
        <is>
          <t>SS</t>
        </is>
      </c>
      <c r="H530" s="17" t="inlineStr">
        <is>
          <t>Healer</t>
        </is>
      </c>
      <c r="I530" s="18" t="n">
        <v>4</v>
      </c>
      <c r="J530" s="18" t="n">
        <v>4</v>
      </c>
      <c r="K530" s="18" t="n">
        <v>459</v>
      </c>
      <c r="L530" s="18" t="n">
        <v>463</v>
      </c>
      <c r="M530" s="18" t="n">
        <v>514</v>
      </c>
      <c r="N530" s="18" t="n">
        <v>479</v>
      </c>
      <c r="O530" s="18" t="n">
        <v>444</v>
      </c>
      <c r="P530" s="18" t="n">
        <v>431</v>
      </c>
      <c r="Q530" s="18" t="n">
        <v>46</v>
      </c>
      <c r="R530" s="18" t="n">
        <v>47</v>
      </c>
      <c r="S530" s="18" t="n">
        <v>52</v>
      </c>
      <c r="T530" s="18" t="n">
        <v>48</v>
      </c>
      <c r="U530" s="18" t="n">
        <v>45</v>
      </c>
      <c r="V530" s="18" t="n">
        <v>44</v>
      </c>
      <c r="W530" s="20" t="n"/>
      <c r="X530" s="20" t="n"/>
      <c r="Y530" s="20" t="n"/>
      <c r="Z530" s="20" t="n"/>
      <c r="AA530" s="20" t="n"/>
      <c r="AB530" s="20" t="n"/>
      <c r="AC530" s="21">
        <f>IF(W530="","",W530-K530)</f>
        <v/>
      </c>
      <c r="AD530" s="21">
        <f>IF(X530="","",X530-L530)</f>
        <v/>
      </c>
      <c r="AE530" s="21">
        <f>IF(Y530="","",Y530-M530)</f>
        <v/>
      </c>
      <c r="AF530" s="21">
        <f>IF(Z530="","",Z530-N530)</f>
        <v/>
      </c>
      <c r="AG530" s="21">
        <f>IF(AA530="","",AA530-O530)</f>
        <v/>
      </c>
      <c r="AH530" s="21">
        <f>IF(AB530="","",AB530-P530)</f>
        <v/>
      </c>
      <c r="AI530" s="18">
        <f>IF(COUNTA(W530:AB530)=0,"未入力",IF(COUNTA(W530:AB530)&lt;6,"一部入力",IF(COUNTIF(AC530:AH530,0)=6,"一致","差分あり")))</f>
        <v/>
      </c>
      <c r="AJ5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0" s="19" t="inlineStr"/>
      <c r="AL530" s="18" t="inlineStr">
        <is>
          <t>2026-06-29</t>
        </is>
      </c>
    </row>
    <row r="531" ht="22" customHeight="1">
      <c r="A531" s="17" t="inlineStr">
        <is>
          <t>1006604-LB0</t>
        </is>
      </c>
      <c r="B531" s="18" t="n">
        <v>1006604</v>
      </c>
      <c r="C531" s="17" t="inlineStr">
        <is>
          <t>MuOhshima04</t>
        </is>
      </c>
      <c r="D531" s="17" t="inlineStr">
        <is>
          <t>MuOhshima</t>
        </is>
      </c>
      <c r="E531" s="17" t="inlineStr">
        <is>
          <t>大島 六宇亜</t>
        </is>
      </c>
      <c r="F531" s="19" t="inlineStr">
        <is>
          <t>グルーヴィーなロール</t>
        </is>
      </c>
      <c r="G531" s="18" t="inlineStr">
        <is>
          <t>S</t>
        </is>
      </c>
      <c r="H531" s="17" t="inlineStr">
        <is>
          <t>Healer</t>
        </is>
      </c>
      <c r="I531" s="18" t="n">
        <v>0</v>
      </c>
      <c r="J531" s="18" t="n">
        <v>10</v>
      </c>
      <c r="K531" s="18" t="n">
        <v>302</v>
      </c>
      <c r="L531" s="18" t="n">
        <v>348</v>
      </c>
      <c r="M531" s="18" t="n">
        <v>327</v>
      </c>
      <c r="N531" s="18" t="n">
        <v>307</v>
      </c>
      <c r="O531" s="18" t="n">
        <v>344</v>
      </c>
      <c r="P531" s="18" t="n">
        <v>318</v>
      </c>
      <c r="Q531" s="18" t="n">
        <v>31</v>
      </c>
      <c r="R531" s="18" t="n">
        <v>35</v>
      </c>
      <c r="S531" s="18" t="n">
        <v>33</v>
      </c>
      <c r="T531" s="18" t="n">
        <v>31</v>
      </c>
      <c r="U531" s="18" t="n">
        <v>35</v>
      </c>
      <c r="V531" s="18" t="n">
        <v>32</v>
      </c>
      <c r="W531" s="20" t="n"/>
      <c r="X531" s="20" t="n"/>
      <c r="Y531" s="20" t="n"/>
      <c r="Z531" s="20" t="n"/>
      <c r="AA531" s="20" t="n"/>
      <c r="AB531" s="20" t="n"/>
      <c r="AC531" s="21">
        <f>IF(W531="","",W531-K531)</f>
        <v/>
      </c>
      <c r="AD531" s="21">
        <f>IF(X531="","",X531-L531)</f>
        <v/>
      </c>
      <c r="AE531" s="21">
        <f>IF(Y531="","",Y531-M531)</f>
        <v/>
      </c>
      <c r="AF531" s="21">
        <f>IF(Z531="","",Z531-N531)</f>
        <v/>
      </c>
      <c r="AG531" s="21">
        <f>IF(AA531="","",AA531-O531)</f>
        <v/>
      </c>
      <c r="AH531" s="21">
        <f>IF(AB531="","",AB531-P531)</f>
        <v/>
      </c>
      <c r="AI531" s="18">
        <f>IF(COUNTA(W531:AB531)=0,"未入力",IF(COUNTA(W531:AB531)&lt;6,"一部入力",IF(COUNTIF(AC531:AH531,0)=6,"一致","差分あり")))</f>
        <v/>
      </c>
      <c r="AJ5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1" s="19" t="inlineStr"/>
      <c r="AL531" s="18" t="inlineStr">
        <is>
          <t>2026-06-29</t>
        </is>
      </c>
    </row>
    <row r="532" ht="22" customHeight="1">
      <c r="A532" s="17" t="inlineStr">
        <is>
          <t>1006604-LB10</t>
        </is>
      </c>
      <c r="B532" s="18" t="n">
        <v>1006604</v>
      </c>
      <c r="C532" s="17" t="inlineStr">
        <is>
          <t>MuOhshima04</t>
        </is>
      </c>
      <c r="D532" s="17" t="inlineStr">
        <is>
          <t>MuOhshima</t>
        </is>
      </c>
      <c r="E532" s="17" t="inlineStr">
        <is>
          <t>大島 六宇亜</t>
        </is>
      </c>
      <c r="F532" s="19" t="inlineStr">
        <is>
          <t>グルーヴィーなロール</t>
        </is>
      </c>
      <c r="G532" s="18" t="inlineStr">
        <is>
          <t>S</t>
        </is>
      </c>
      <c r="H532" s="17" t="inlineStr">
        <is>
          <t>Healer</t>
        </is>
      </c>
      <c r="I532" s="18" t="n">
        <v>10</v>
      </c>
      <c r="J532" s="18" t="n">
        <v>10</v>
      </c>
      <c r="K532" s="18" t="n">
        <v>367</v>
      </c>
      <c r="L532" s="18" t="n">
        <v>414</v>
      </c>
      <c r="M532" s="18" t="n">
        <v>394</v>
      </c>
      <c r="N532" s="18" t="n">
        <v>373</v>
      </c>
      <c r="O532" s="18" t="n">
        <v>408</v>
      </c>
      <c r="P532" s="18" t="n">
        <v>384</v>
      </c>
      <c r="Q532" s="18" t="n">
        <v>37</v>
      </c>
      <c r="R532" s="18" t="n">
        <v>42</v>
      </c>
      <c r="S532" s="18" t="n">
        <v>40</v>
      </c>
      <c r="T532" s="18" t="n">
        <v>38</v>
      </c>
      <c r="U532" s="18" t="n">
        <v>41</v>
      </c>
      <c r="V532" s="18" t="n">
        <v>39</v>
      </c>
      <c r="W532" s="20" t="n"/>
      <c r="X532" s="20" t="n"/>
      <c r="Y532" s="20" t="n"/>
      <c r="Z532" s="20" t="n"/>
      <c r="AA532" s="20" t="n"/>
      <c r="AB532" s="20" t="n"/>
      <c r="AC532" s="21">
        <f>IF(W532="","",W532-K532)</f>
        <v/>
      </c>
      <c r="AD532" s="21">
        <f>IF(X532="","",X532-L532)</f>
        <v/>
      </c>
      <c r="AE532" s="21">
        <f>IF(Y532="","",Y532-M532)</f>
        <v/>
      </c>
      <c r="AF532" s="21">
        <f>IF(Z532="","",Z532-N532)</f>
        <v/>
      </c>
      <c r="AG532" s="21">
        <f>IF(AA532="","",AA532-O532)</f>
        <v/>
      </c>
      <c r="AH532" s="21">
        <f>IF(AB532="","",AB532-P532)</f>
        <v/>
      </c>
      <c r="AI532" s="18">
        <f>IF(COUNTA(W532:AB532)=0,"未入力",IF(COUNTA(W532:AB532)&lt;6,"一部入力",IF(COUNTIF(AC532:AH532,0)=6,"一致","差分あり")))</f>
        <v/>
      </c>
      <c r="AJ5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2" s="19" t="inlineStr"/>
      <c r="AL532" s="18" t="inlineStr">
        <is>
          <t>2026-06-29</t>
        </is>
      </c>
    </row>
    <row r="533" ht="22" customHeight="1">
      <c r="A533" s="17" t="inlineStr">
        <is>
          <t>1006605-LB0</t>
        </is>
      </c>
      <c r="B533" s="18" t="n">
        <v>1006605</v>
      </c>
      <c r="C533" s="17" t="inlineStr">
        <is>
          <t>MuOhshima05</t>
        </is>
      </c>
      <c r="D533" s="17" t="inlineStr">
        <is>
          <t>MuOhshima</t>
        </is>
      </c>
      <c r="E533" s="17" t="inlineStr">
        <is>
          <t>大島 六宇亜</t>
        </is>
      </c>
      <c r="F533" s="19" t="inlineStr">
        <is>
          <t>早春向かい風</t>
        </is>
      </c>
      <c r="G533" s="18" t="inlineStr">
        <is>
          <t>SS</t>
        </is>
      </c>
      <c r="H533" s="17" t="inlineStr">
        <is>
          <t>Healer</t>
        </is>
      </c>
      <c r="I533" s="18" t="n">
        <v>0</v>
      </c>
      <c r="J533" s="18" t="n">
        <v>4</v>
      </c>
      <c r="K533" s="18" t="n">
        <v>394</v>
      </c>
      <c r="L533" s="18" t="n">
        <v>397</v>
      </c>
      <c r="M533" s="18" t="n">
        <v>446</v>
      </c>
      <c r="N533" s="18" t="n">
        <v>413</v>
      </c>
      <c r="O533" s="18" t="n">
        <v>379</v>
      </c>
      <c r="P533" s="18" t="n">
        <v>365</v>
      </c>
      <c r="Q533" s="18" t="n">
        <v>40</v>
      </c>
      <c r="R533" s="18" t="n">
        <v>40</v>
      </c>
      <c r="S533" s="18" t="n">
        <v>45</v>
      </c>
      <c r="T533" s="18" t="n">
        <v>42</v>
      </c>
      <c r="U533" s="18" t="n">
        <v>38</v>
      </c>
      <c r="V533" s="18" t="n">
        <v>37</v>
      </c>
      <c r="W533" s="20" t="n"/>
      <c r="X533" s="20" t="n"/>
      <c r="Y533" s="20" t="n"/>
      <c r="Z533" s="20" t="n"/>
      <c r="AA533" s="20" t="n"/>
      <c r="AB533" s="20" t="n"/>
      <c r="AC533" s="21">
        <f>IF(W533="","",W533-K533)</f>
        <v/>
      </c>
      <c r="AD533" s="21">
        <f>IF(X533="","",X533-L533)</f>
        <v/>
      </c>
      <c r="AE533" s="21">
        <f>IF(Y533="","",Y533-M533)</f>
        <v/>
      </c>
      <c r="AF533" s="21">
        <f>IF(Z533="","",Z533-N533)</f>
        <v/>
      </c>
      <c r="AG533" s="21">
        <f>IF(AA533="","",AA533-O533)</f>
        <v/>
      </c>
      <c r="AH533" s="21">
        <f>IF(AB533="","",AB533-P533)</f>
        <v/>
      </c>
      <c r="AI533" s="18">
        <f>IF(COUNTA(W533:AB533)=0,"未入力",IF(COUNTA(W533:AB533)&lt;6,"一部入力",IF(COUNTIF(AC533:AH533,0)=6,"一致","差分あり")))</f>
        <v/>
      </c>
      <c r="AJ5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3" s="19" t="inlineStr"/>
      <c r="AL533" s="18" t="inlineStr">
        <is>
          <t>2026-06-29</t>
        </is>
      </c>
    </row>
    <row r="534" ht="22" customHeight="1">
      <c r="A534" s="17" t="inlineStr">
        <is>
          <t>1006605-LB4</t>
        </is>
      </c>
      <c r="B534" s="18" t="n">
        <v>1006605</v>
      </c>
      <c r="C534" s="17" t="inlineStr">
        <is>
          <t>MuOhshima05</t>
        </is>
      </c>
      <c r="D534" s="17" t="inlineStr">
        <is>
          <t>MuOhshima</t>
        </is>
      </c>
      <c r="E534" s="17" t="inlineStr">
        <is>
          <t>大島 六宇亜</t>
        </is>
      </c>
      <c r="F534" s="19" t="inlineStr">
        <is>
          <t>早春向かい風</t>
        </is>
      </c>
      <c r="G534" s="18" t="inlineStr">
        <is>
          <t>SS</t>
        </is>
      </c>
      <c r="H534" s="17" t="inlineStr">
        <is>
          <t>Healer</t>
        </is>
      </c>
      <c r="I534" s="18" t="n">
        <v>4</v>
      </c>
      <c r="J534" s="18" t="n">
        <v>4</v>
      </c>
      <c r="K534" s="18" t="n">
        <v>480</v>
      </c>
      <c r="L534" s="18" t="n">
        <v>484</v>
      </c>
      <c r="M534" s="18" t="n">
        <v>537</v>
      </c>
      <c r="N534" s="18" t="n">
        <v>501</v>
      </c>
      <c r="O534" s="18" t="n">
        <v>465</v>
      </c>
      <c r="P534" s="18" t="n">
        <v>453</v>
      </c>
      <c r="Q534" s="18" t="n">
        <v>48</v>
      </c>
      <c r="R534" s="18" t="n">
        <v>49</v>
      </c>
      <c r="S534" s="18" t="n">
        <v>54</v>
      </c>
      <c r="T534" s="18" t="n">
        <v>51</v>
      </c>
      <c r="U534" s="18" t="n">
        <v>47</v>
      </c>
      <c r="V534" s="18" t="n">
        <v>46</v>
      </c>
      <c r="W534" s="20" t="n"/>
      <c r="X534" s="20" t="n"/>
      <c r="Y534" s="20" t="n"/>
      <c r="Z534" s="20" t="n"/>
      <c r="AA534" s="20" t="n"/>
      <c r="AB534" s="20" t="n"/>
      <c r="AC534" s="21">
        <f>IF(W534="","",W534-K534)</f>
        <v/>
      </c>
      <c r="AD534" s="21">
        <f>IF(X534="","",X534-L534)</f>
        <v/>
      </c>
      <c r="AE534" s="21">
        <f>IF(Y534="","",Y534-M534)</f>
        <v/>
      </c>
      <c r="AF534" s="21">
        <f>IF(Z534="","",Z534-N534)</f>
        <v/>
      </c>
      <c r="AG534" s="21">
        <f>IF(AA534="","",AA534-O534)</f>
        <v/>
      </c>
      <c r="AH534" s="21">
        <f>IF(AB534="","",AB534-P534)</f>
        <v/>
      </c>
      <c r="AI534" s="18">
        <f>IF(COUNTA(W534:AB534)=0,"未入力",IF(COUNTA(W534:AB534)&lt;6,"一部入力",IF(COUNTIF(AC534:AH534,0)=6,"一致","差分あり")))</f>
        <v/>
      </c>
      <c r="AJ5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4" s="19" t="inlineStr"/>
      <c r="AL534" s="18" t="inlineStr">
        <is>
          <t>2026-06-29</t>
        </is>
      </c>
    </row>
    <row r="535" ht="22" customHeight="1">
      <c r="A535" s="17" t="inlineStr">
        <is>
          <t>1006606-LB0</t>
        </is>
      </c>
      <c r="B535" s="18" t="n">
        <v>1006606</v>
      </c>
      <c r="C535" s="17" t="inlineStr">
        <is>
          <t>MuOhshima06</t>
        </is>
      </c>
      <c r="D535" s="17" t="inlineStr">
        <is>
          <t>MuOhshima</t>
        </is>
      </c>
      <c r="E535" s="17" t="inlineStr">
        <is>
          <t>大島 六宇亜</t>
        </is>
      </c>
      <c r="F535" s="19" t="inlineStr">
        <is>
          <t>さざなみ・フィールグッド</t>
        </is>
      </c>
      <c r="G535" s="18" t="inlineStr">
        <is>
          <t>SS</t>
        </is>
      </c>
      <c r="H535" s="17" t="inlineStr">
        <is>
          <t>Defender</t>
        </is>
      </c>
      <c r="I535" s="18" t="n">
        <v>0</v>
      </c>
      <c r="J535" s="18" t="n">
        <v>4</v>
      </c>
      <c r="K535" s="18" t="n">
        <v>394</v>
      </c>
      <c r="L535" s="18" t="n">
        <v>397</v>
      </c>
      <c r="M535" s="18" t="n">
        <v>446</v>
      </c>
      <c r="N535" s="18" t="n">
        <v>413</v>
      </c>
      <c r="O535" s="18" t="n">
        <v>379</v>
      </c>
      <c r="P535" s="18" t="n">
        <v>365</v>
      </c>
      <c r="Q535" s="18" t="n">
        <v>40</v>
      </c>
      <c r="R535" s="18" t="n">
        <v>40</v>
      </c>
      <c r="S535" s="18" t="n">
        <v>45</v>
      </c>
      <c r="T535" s="18" t="n">
        <v>42</v>
      </c>
      <c r="U535" s="18" t="n">
        <v>38</v>
      </c>
      <c r="V535" s="18" t="n">
        <v>37</v>
      </c>
      <c r="W535" s="20" t="n"/>
      <c r="X535" s="20" t="n"/>
      <c r="Y535" s="20" t="n"/>
      <c r="Z535" s="20" t="n"/>
      <c r="AA535" s="20" t="n"/>
      <c r="AB535" s="20" t="n"/>
      <c r="AC535" s="21">
        <f>IF(W535="","",W535-K535)</f>
        <v/>
      </c>
      <c r="AD535" s="21">
        <f>IF(X535="","",X535-L535)</f>
        <v/>
      </c>
      <c r="AE535" s="21">
        <f>IF(Y535="","",Y535-M535)</f>
        <v/>
      </c>
      <c r="AF535" s="21">
        <f>IF(Z535="","",Z535-N535)</f>
        <v/>
      </c>
      <c r="AG535" s="21">
        <f>IF(AA535="","",AA535-O535)</f>
        <v/>
      </c>
      <c r="AH535" s="21">
        <f>IF(AB535="","",AB535-P535)</f>
        <v/>
      </c>
      <c r="AI535" s="18">
        <f>IF(COUNTA(W535:AB535)=0,"未入力",IF(COUNTA(W535:AB535)&lt;6,"一部入力",IF(COUNTIF(AC535:AH535,0)=6,"一致","差分あり")))</f>
        <v/>
      </c>
      <c r="AJ5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5" s="19" t="inlineStr"/>
      <c r="AL535" s="18" t="inlineStr">
        <is>
          <t>2026-06-29</t>
        </is>
      </c>
    </row>
    <row r="536" ht="22" customHeight="1">
      <c r="A536" s="17" t="inlineStr">
        <is>
          <t>1006606-LB4</t>
        </is>
      </c>
      <c r="B536" s="18" t="n">
        <v>1006606</v>
      </c>
      <c r="C536" s="17" t="inlineStr">
        <is>
          <t>MuOhshima06</t>
        </is>
      </c>
      <c r="D536" s="17" t="inlineStr">
        <is>
          <t>MuOhshima</t>
        </is>
      </c>
      <c r="E536" s="17" t="inlineStr">
        <is>
          <t>大島 六宇亜</t>
        </is>
      </c>
      <c r="F536" s="19" t="inlineStr">
        <is>
          <t>さざなみ・フィールグッド</t>
        </is>
      </c>
      <c r="G536" s="18" t="inlineStr">
        <is>
          <t>SS</t>
        </is>
      </c>
      <c r="H536" s="17" t="inlineStr">
        <is>
          <t>Defender</t>
        </is>
      </c>
      <c r="I536" s="18" t="n">
        <v>4</v>
      </c>
      <c r="J536" s="18" t="n">
        <v>4</v>
      </c>
      <c r="K536" s="18" t="n">
        <v>480</v>
      </c>
      <c r="L536" s="18" t="n">
        <v>484</v>
      </c>
      <c r="M536" s="18" t="n">
        <v>537</v>
      </c>
      <c r="N536" s="18" t="n">
        <v>501</v>
      </c>
      <c r="O536" s="18" t="n">
        <v>465</v>
      </c>
      <c r="P536" s="18" t="n">
        <v>453</v>
      </c>
      <c r="Q536" s="18" t="n">
        <v>48</v>
      </c>
      <c r="R536" s="18" t="n">
        <v>49</v>
      </c>
      <c r="S536" s="18" t="n">
        <v>54</v>
      </c>
      <c r="T536" s="18" t="n">
        <v>51</v>
      </c>
      <c r="U536" s="18" t="n">
        <v>47</v>
      </c>
      <c r="V536" s="18" t="n">
        <v>46</v>
      </c>
      <c r="W536" s="20" t="n"/>
      <c r="X536" s="20" t="n"/>
      <c r="Y536" s="20" t="n"/>
      <c r="Z536" s="20" t="n"/>
      <c r="AA536" s="20" t="n"/>
      <c r="AB536" s="20" t="n"/>
      <c r="AC536" s="21">
        <f>IF(W536="","",W536-K536)</f>
        <v/>
      </c>
      <c r="AD536" s="21">
        <f>IF(X536="","",X536-L536)</f>
        <v/>
      </c>
      <c r="AE536" s="21">
        <f>IF(Y536="","",Y536-M536)</f>
        <v/>
      </c>
      <c r="AF536" s="21">
        <f>IF(Z536="","",Z536-N536)</f>
        <v/>
      </c>
      <c r="AG536" s="21">
        <f>IF(AA536="","",AA536-O536)</f>
        <v/>
      </c>
      <c r="AH536" s="21">
        <f>IF(AB536="","",AB536-P536)</f>
        <v/>
      </c>
      <c r="AI536" s="18">
        <f>IF(COUNTA(W536:AB536)=0,"未入力",IF(COUNTA(W536:AB536)&lt;6,"一部入力",IF(COUNTIF(AC536:AH536,0)=6,"一致","差分あり")))</f>
        <v/>
      </c>
      <c r="AJ5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6" s="19" t="inlineStr"/>
      <c r="AL536" s="18" t="inlineStr">
        <is>
          <t>2026-06-29</t>
        </is>
      </c>
    </row>
    <row r="537" ht="22" customHeight="1">
      <c r="A537" s="17" t="inlineStr">
        <is>
          <t>1007101-LB0</t>
        </is>
      </c>
      <c r="B537" s="18" t="n">
        <v>1007101</v>
      </c>
      <c r="C537" s="17" t="inlineStr">
        <is>
          <t>MYanagi01</t>
        </is>
      </c>
      <c r="D537" s="17" t="inlineStr">
        <is>
          <t>MYanagi</t>
        </is>
      </c>
      <c r="E537" s="17" t="inlineStr">
        <is>
          <t>柳 美音</t>
        </is>
      </c>
      <c r="F537" s="19" t="inlineStr">
        <is>
          <t>ロイヤルバトラー</t>
        </is>
      </c>
      <c r="G537" s="18" t="inlineStr">
        <is>
          <t>A</t>
        </is>
      </c>
      <c r="H537" s="17" t="inlineStr">
        <is>
          <t>Healer</t>
        </is>
      </c>
      <c r="I537" s="18" t="n">
        <v>0</v>
      </c>
      <c r="J537" s="18" t="n">
        <v>20</v>
      </c>
      <c r="K537" s="18" t="n">
        <v>245</v>
      </c>
      <c r="L537" s="18" t="n">
        <v>289</v>
      </c>
      <c r="M537" s="18" t="n">
        <v>288</v>
      </c>
      <c r="N537" s="18" t="n">
        <v>249</v>
      </c>
      <c r="O537" s="18" t="n">
        <v>284</v>
      </c>
      <c r="P537" s="18" t="n">
        <v>277</v>
      </c>
      <c r="Q537" s="18" t="n">
        <v>25</v>
      </c>
      <c r="R537" s="18" t="n">
        <v>29</v>
      </c>
      <c r="S537" s="18" t="n">
        <v>29</v>
      </c>
      <c r="T537" s="18" t="n">
        <v>25</v>
      </c>
      <c r="U537" s="18" t="n">
        <v>29</v>
      </c>
      <c r="V537" s="18" t="n">
        <v>28</v>
      </c>
      <c r="W537" s="20" t="n"/>
      <c r="X537" s="20" t="n"/>
      <c r="Y537" s="20" t="n"/>
      <c r="Z537" s="20" t="n"/>
      <c r="AA537" s="20" t="n"/>
      <c r="AB537" s="20" t="n"/>
      <c r="AC537" s="21">
        <f>IF(W537="","",W537-K537)</f>
        <v/>
      </c>
      <c r="AD537" s="21">
        <f>IF(X537="","",X537-L537)</f>
        <v/>
      </c>
      <c r="AE537" s="21">
        <f>IF(Y537="","",Y537-M537)</f>
        <v/>
      </c>
      <c r="AF537" s="21">
        <f>IF(Z537="","",Z537-N537)</f>
        <v/>
      </c>
      <c r="AG537" s="21">
        <f>IF(AA537="","",AA537-O537)</f>
        <v/>
      </c>
      <c r="AH537" s="21">
        <f>IF(AB537="","",AB537-P537)</f>
        <v/>
      </c>
      <c r="AI537" s="18">
        <f>IF(COUNTA(W537:AB537)=0,"未入力",IF(COUNTA(W537:AB537)&lt;6,"一部入力",IF(COUNTIF(AC537:AH537,0)=6,"一致","差分あり")))</f>
        <v/>
      </c>
      <c r="AJ5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7" s="19" t="inlineStr"/>
      <c r="AL537" s="18" t="inlineStr">
        <is>
          <t>2026-06-29</t>
        </is>
      </c>
    </row>
    <row r="538" ht="22" customHeight="1">
      <c r="A538" s="17" t="inlineStr">
        <is>
          <t>1007101-LB20</t>
        </is>
      </c>
      <c r="B538" s="18" t="n">
        <v>1007101</v>
      </c>
      <c r="C538" s="17" t="inlineStr">
        <is>
          <t>MYanagi01</t>
        </is>
      </c>
      <c r="D538" s="17" t="inlineStr">
        <is>
          <t>MYanagi</t>
        </is>
      </c>
      <c r="E538" s="17" t="inlineStr">
        <is>
          <t>柳 美音</t>
        </is>
      </c>
      <c r="F538" s="19" t="inlineStr">
        <is>
          <t>ロイヤルバトラー</t>
        </is>
      </c>
      <c r="G538" s="18" t="inlineStr">
        <is>
          <t>A</t>
        </is>
      </c>
      <c r="H538" s="17" t="inlineStr">
        <is>
          <t>Healer</t>
        </is>
      </c>
      <c r="I538" s="18" t="n">
        <v>20</v>
      </c>
      <c r="J538" s="18" t="n">
        <v>20</v>
      </c>
      <c r="K538" s="18" t="n">
        <v>289</v>
      </c>
      <c r="L538" s="18" t="n">
        <v>334</v>
      </c>
      <c r="M538" s="18" t="n">
        <v>333</v>
      </c>
      <c r="N538" s="18" t="n">
        <v>293</v>
      </c>
      <c r="O538" s="18" t="n">
        <v>326</v>
      </c>
      <c r="P538" s="18" t="n">
        <v>320</v>
      </c>
      <c r="Q538" s="18" t="n">
        <v>29</v>
      </c>
      <c r="R538" s="18" t="n">
        <v>34</v>
      </c>
      <c r="S538" s="18" t="n">
        <v>34</v>
      </c>
      <c r="T538" s="18" t="n">
        <v>30</v>
      </c>
      <c r="U538" s="18" t="n">
        <v>33</v>
      </c>
      <c r="V538" s="18" t="n">
        <v>32</v>
      </c>
      <c r="W538" s="20" t="n"/>
      <c r="X538" s="20" t="n"/>
      <c r="Y538" s="20" t="n"/>
      <c r="Z538" s="20" t="n"/>
      <c r="AA538" s="20" t="n"/>
      <c r="AB538" s="20" t="n"/>
      <c r="AC538" s="21">
        <f>IF(W538="","",W538-K538)</f>
        <v/>
      </c>
      <c r="AD538" s="21">
        <f>IF(X538="","",X538-L538)</f>
        <v/>
      </c>
      <c r="AE538" s="21">
        <f>IF(Y538="","",Y538-M538)</f>
        <v/>
      </c>
      <c r="AF538" s="21">
        <f>IF(Z538="","",Z538-N538)</f>
        <v/>
      </c>
      <c r="AG538" s="21">
        <f>IF(AA538="","",AA538-O538)</f>
        <v/>
      </c>
      <c r="AH538" s="21">
        <f>IF(AB538="","",AB538-P538)</f>
        <v/>
      </c>
      <c r="AI538" s="18">
        <f>IF(COUNTA(W538:AB538)=0,"未入力",IF(COUNTA(W538:AB538)&lt;6,"一部入力",IF(COUNTIF(AC538:AH538,0)=6,"一致","差分あり")))</f>
        <v/>
      </c>
      <c r="AJ5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8" s="19" t="inlineStr"/>
      <c r="AL538" s="18" t="inlineStr">
        <is>
          <t>2026-06-29</t>
        </is>
      </c>
    </row>
    <row r="539" ht="22" customHeight="1">
      <c r="A539" s="17" t="inlineStr">
        <is>
          <t>1007102-LB0</t>
        </is>
      </c>
      <c r="B539" s="18" t="n">
        <v>1007102</v>
      </c>
      <c r="C539" s="17" t="inlineStr">
        <is>
          <t>MYanagi02</t>
        </is>
      </c>
      <c r="D539" s="17" t="inlineStr">
        <is>
          <t>MYanagi</t>
        </is>
      </c>
      <c r="E539" s="17" t="inlineStr">
        <is>
          <t>柳 美音</t>
        </is>
      </c>
      <c r="F539" s="19" t="inlineStr">
        <is>
          <t>滅私奉公のトラスト</t>
        </is>
      </c>
      <c r="G539" s="18" t="inlineStr">
        <is>
          <t>S</t>
        </is>
      </c>
      <c r="H539" s="17" t="inlineStr">
        <is>
          <t>Healer</t>
        </is>
      </c>
      <c r="I539" s="18" t="n">
        <v>0</v>
      </c>
      <c r="J539" s="18" t="n">
        <v>10</v>
      </c>
      <c r="K539" s="18" t="n">
        <v>345</v>
      </c>
      <c r="L539" s="18" t="n">
        <v>306</v>
      </c>
      <c r="M539" s="18" t="n">
        <v>315</v>
      </c>
      <c r="N539" s="18" t="n">
        <v>320</v>
      </c>
      <c r="O539" s="18" t="n">
        <v>310</v>
      </c>
      <c r="P539" s="18" t="n">
        <v>347</v>
      </c>
      <c r="Q539" s="18" t="n">
        <v>35</v>
      </c>
      <c r="R539" s="18" t="n">
        <v>31</v>
      </c>
      <c r="S539" s="18" t="n">
        <v>32</v>
      </c>
      <c r="T539" s="18" t="n">
        <v>32</v>
      </c>
      <c r="U539" s="18" t="n">
        <v>31</v>
      </c>
      <c r="V539" s="18" t="n">
        <v>35</v>
      </c>
      <c r="W539" s="20" t="n"/>
      <c r="X539" s="20" t="n"/>
      <c r="Y539" s="20" t="n"/>
      <c r="Z539" s="20" t="n"/>
      <c r="AA539" s="20" t="n"/>
      <c r="AB539" s="20" t="n"/>
      <c r="AC539" s="21">
        <f>IF(W539="","",W539-K539)</f>
        <v/>
      </c>
      <c r="AD539" s="21">
        <f>IF(X539="","",X539-L539)</f>
        <v/>
      </c>
      <c r="AE539" s="21">
        <f>IF(Y539="","",Y539-M539)</f>
        <v/>
      </c>
      <c r="AF539" s="21">
        <f>IF(Z539="","",Z539-N539)</f>
        <v/>
      </c>
      <c r="AG539" s="21">
        <f>IF(AA539="","",AA539-O539)</f>
        <v/>
      </c>
      <c r="AH539" s="21">
        <f>IF(AB539="","",AB539-P539)</f>
        <v/>
      </c>
      <c r="AI539" s="18">
        <f>IF(COUNTA(W539:AB539)=0,"未入力",IF(COUNTA(W539:AB539)&lt;6,"一部入力",IF(COUNTIF(AC539:AH539,0)=6,"一致","差分あり")))</f>
        <v/>
      </c>
      <c r="AJ5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39" s="19" t="inlineStr"/>
      <c r="AL539" s="18" t="inlineStr">
        <is>
          <t>2026-06-29</t>
        </is>
      </c>
    </row>
    <row r="540" ht="22" customHeight="1">
      <c r="A540" s="17" t="inlineStr">
        <is>
          <t>1007102-LB10</t>
        </is>
      </c>
      <c r="B540" s="18" t="n">
        <v>1007102</v>
      </c>
      <c r="C540" s="17" t="inlineStr">
        <is>
          <t>MYanagi02</t>
        </is>
      </c>
      <c r="D540" s="17" t="inlineStr">
        <is>
          <t>MYanagi</t>
        </is>
      </c>
      <c r="E540" s="17" t="inlineStr">
        <is>
          <t>柳 美音</t>
        </is>
      </c>
      <c r="F540" s="19" t="inlineStr">
        <is>
          <t>滅私奉公のトラスト</t>
        </is>
      </c>
      <c r="G540" s="18" t="inlineStr">
        <is>
          <t>S</t>
        </is>
      </c>
      <c r="H540" s="17" t="inlineStr">
        <is>
          <t>Healer</t>
        </is>
      </c>
      <c r="I540" s="18" t="n">
        <v>10</v>
      </c>
      <c r="J540" s="18" t="n">
        <v>10</v>
      </c>
      <c r="K540" s="18" t="n">
        <v>414</v>
      </c>
      <c r="L540" s="18" t="n">
        <v>372</v>
      </c>
      <c r="M540" s="18" t="n">
        <v>383</v>
      </c>
      <c r="N540" s="18" t="n">
        <v>386</v>
      </c>
      <c r="O540" s="18" t="n">
        <v>375</v>
      </c>
      <c r="P540" s="18" t="n">
        <v>412</v>
      </c>
      <c r="Q540" s="18" t="n">
        <v>42</v>
      </c>
      <c r="R540" s="18" t="n">
        <v>38</v>
      </c>
      <c r="S540" s="18" t="n">
        <v>39</v>
      </c>
      <c r="T540" s="18" t="n">
        <v>39</v>
      </c>
      <c r="U540" s="18" t="n">
        <v>38</v>
      </c>
      <c r="V540" s="18" t="n">
        <v>42</v>
      </c>
      <c r="W540" s="20" t="n"/>
      <c r="X540" s="20" t="n"/>
      <c r="Y540" s="20" t="n"/>
      <c r="Z540" s="20" t="n"/>
      <c r="AA540" s="20" t="n"/>
      <c r="AB540" s="20" t="n"/>
      <c r="AC540" s="21">
        <f>IF(W540="","",W540-K540)</f>
        <v/>
      </c>
      <c r="AD540" s="21">
        <f>IF(X540="","",X540-L540)</f>
        <v/>
      </c>
      <c r="AE540" s="21">
        <f>IF(Y540="","",Y540-M540)</f>
        <v/>
      </c>
      <c r="AF540" s="21">
        <f>IF(Z540="","",Z540-N540)</f>
        <v/>
      </c>
      <c r="AG540" s="21">
        <f>IF(AA540="","",AA540-O540)</f>
        <v/>
      </c>
      <c r="AH540" s="21">
        <f>IF(AB540="","",AB540-P540)</f>
        <v/>
      </c>
      <c r="AI540" s="18">
        <f>IF(COUNTA(W540:AB540)=0,"未入力",IF(COUNTA(W540:AB540)&lt;6,"一部入力",IF(COUNTIF(AC540:AH540,0)=6,"一致","差分あり")))</f>
        <v/>
      </c>
      <c r="AJ5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0" s="19" t="inlineStr"/>
      <c r="AL540" s="18" t="inlineStr">
        <is>
          <t>2026-06-29</t>
        </is>
      </c>
    </row>
    <row r="541" ht="22" customHeight="1">
      <c r="A541" s="17" t="inlineStr">
        <is>
          <t>1007103-LB0</t>
        </is>
      </c>
      <c r="B541" s="18" t="n">
        <v>1007103</v>
      </c>
      <c r="C541" s="17" t="inlineStr">
        <is>
          <t>MYanagi03</t>
        </is>
      </c>
      <c r="D541" s="17" t="inlineStr">
        <is>
          <t>MYanagi</t>
        </is>
      </c>
      <c r="E541" s="17" t="inlineStr">
        <is>
          <t>柳 美音</t>
        </is>
      </c>
      <c r="F541" s="19" t="inlineStr">
        <is>
          <t>Wild Rose</t>
        </is>
      </c>
      <c r="G541" s="18" t="inlineStr">
        <is>
          <t>SS</t>
        </is>
      </c>
      <c r="H541" s="17" t="inlineStr">
        <is>
          <t>Healer</t>
        </is>
      </c>
      <c r="I541" s="18" t="n">
        <v>0</v>
      </c>
      <c r="J541" s="18" t="n">
        <v>4</v>
      </c>
      <c r="K541" s="18" t="n">
        <v>375</v>
      </c>
      <c r="L541" s="18" t="n">
        <v>377</v>
      </c>
      <c r="M541" s="18" t="n">
        <v>424</v>
      </c>
      <c r="N541" s="18" t="n">
        <v>393</v>
      </c>
      <c r="O541" s="18" t="n">
        <v>356</v>
      </c>
      <c r="P541" s="18" t="n">
        <v>339</v>
      </c>
      <c r="Q541" s="18" t="n">
        <v>38</v>
      </c>
      <c r="R541" s="18" t="n">
        <v>38</v>
      </c>
      <c r="S541" s="18" t="n">
        <v>43</v>
      </c>
      <c r="T541" s="18" t="n">
        <v>40</v>
      </c>
      <c r="U541" s="18" t="n">
        <v>36</v>
      </c>
      <c r="V541" s="18" t="n">
        <v>34</v>
      </c>
      <c r="W541" s="20" t="n"/>
      <c r="X541" s="20" t="n"/>
      <c r="Y541" s="20" t="n"/>
      <c r="Z541" s="20" t="n"/>
      <c r="AA541" s="20" t="n"/>
      <c r="AB541" s="20" t="n"/>
      <c r="AC541" s="21">
        <f>IF(W541="","",W541-K541)</f>
        <v/>
      </c>
      <c r="AD541" s="21">
        <f>IF(X541="","",X541-L541)</f>
        <v/>
      </c>
      <c r="AE541" s="21">
        <f>IF(Y541="","",Y541-M541)</f>
        <v/>
      </c>
      <c r="AF541" s="21">
        <f>IF(Z541="","",Z541-N541)</f>
        <v/>
      </c>
      <c r="AG541" s="21">
        <f>IF(AA541="","",AA541-O541)</f>
        <v/>
      </c>
      <c r="AH541" s="21">
        <f>IF(AB541="","",AB541-P541)</f>
        <v/>
      </c>
      <c r="AI541" s="18">
        <f>IF(COUNTA(W541:AB541)=0,"未入力",IF(COUNTA(W541:AB541)&lt;6,"一部入力",IF(COUNTIF(AC541:AH541,0)=6,"一致","差分あり")))</f>
        <v/>
      </c>
      <c r="AJ5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1" s="19" t="inlineStr"/>
      <c r="AL541" s="18" t="inlineStr">
        <is>
          <t>2026-06-29</t>
        </is>
      </c>
    </row>
    <row r="542" ht="22" customHeight="1">
      <c r="A542" s="17" t="inlineStr">
        <is>
          <t>1007103-LB4</t>
        </is>
      </c>
      <c r="B542" s="18" t="n">
        <v>1007103</v>
      </c>
      <c r="C542" s="17" t="inlineStr">
        <is>
          <t>MYanagi03</t>
        </is>
      </c>
      <c r="D542" s="17" t="inlineStr">
        <is>
          <t>MYanagi</t>
        </is>
      </c>
      <c r="E542" s="17" t="inlineStr">
        <is>
          <t>柳 美音</t>
        </is>
      </c>
      <c r="F542" s="19" t="inlineStr">
        <is>
          <t>Wild Rose</t>
        </is>
      </c>
      <c r="G542" s="18" t="inlineStr">
        <is>
          <t>SS</t>
        </is>
      </c>
      <c r="H542" s="17" t="inlineStr">
        <is>
          <t>Healer</t>
        </is>
      </c>
      <c r="I542" s="18" t="n">
        <v>4</v>
      </c>
      <c r="J542" s="18" t="n">
        <v>4</v>
      </c>
      <c r="K542" s="18" t="n">
        <v>463</v>
      </c>
      <c r="L542" s="18" t="n">
        <v>465</v>
      </c>
      <c r="M542" s="18" t="n">
        <v>514</v>
      </c>
      <c r="N542" s="18" t="n">
        <v>481</v>
      </c>
      <c r="O542" s="18" t="n">
        <v>442</v>
      </c>
      <c r="P542" s="18" t="n">
        <v>426</v>
      </c>
      <c r="Q542" s="18" t="n">
        <v>47</v>
      </c>
      <c r="R542" s="18" t="n">
        <v>47</v>
      </c>
      <c r="S542" s="18" t="n">
        <v>52</v>
      </c>
      <c r="T542" s="18" t="n">
        <v>49</v>
      </c>
      <c r="U542" s="18" t="n">
        <v>45</v>
      </c>
      <c r="V542" s="18" t="n">
        <v>43</v>
      </c>
      <c r="W542" s="20" t="n"/>
      <c r="X542" s="20" t="n"/>
      <c r="Y542" s="20" t="n"/>
      <c r="Z542" s="20" t="n"/>
      <c r="AA542" s="20" t="n"/>
      <c r="AB542" s="20" t="n"/>
      <c r="AC542" s="21">
        <f>IF(W542="","",W542-K542)</f>
        <v/>
      </c>
      <c r="AD542" s="21">
        <f>IF(X542="","",X542-L542)</f>
        <v/>
      </c>
      <c r="AE542" s="21">
        <f>IF(Y542="","",Y542-M542)</f>
        <v/>
      </c>
      <c r="AF542" s="21">
        <f>IF(Z542="","",Z542-N542)</f>
        <v/>
      </c>
      <c r="AG542" s="21">
        <f>IF(AA542="","",AA542-O542)</f>
        <v/>
      </c>
      <c r="AH542" s="21">
        <f>IF(AB542="","",AB542-P542)</f>
        <v/>
      </c>
      <c r="AI542" s="18">
        <f>IF(COUNTA(W542:AB542)=0,"未入力",IF(COUNTA(W542:AB542)&lt;6,"一部入力",IF(COUNTIF(AC542:AH542,0)=6,"一致","差分あり")))</f>
        <v/>
      </c>
      <c r="AJ5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2" s="19" t="inlineStr"/>
      <c r="AL542" s="18" t="inlineStr">
        <is>
          <t>2026-06-29</t>
        </is>
      </c>
    </row>
    <row r="543" ht="22" customHeight="1">
      <c r="A543" s="17" t="inlineStr">
        <is>
          <t>1007104-LB0</t>
        </is>
      </c>
      <c r="B543" s="18" t="n">
        <v>1007104</v>
      </c>
      <c r="C543" s="17" t="inlineStr">
        <is>
          <t>MYanagi04</t>
        </is>
      </c>
      <c r="D543" s="17" t="inlineStr">
        <is>
          <t>MYanagi</t>
        </is>
      </c>
      <c r="E543" s="17" t="inlineStr">
        <is>
          <t>柳 美音</t>
        </is>
      </c>
      <c r="F543" s="19" t="inlineStr">
        <is>
          <t>夜風のChill Time</t>
        </is>
      </c>
      <c r="G543" s="18" t="inlineStr">
        <is>
          <t>SS</t>
        </is>
      </c>
      <c r="H543" s="17" t="inlineStr">
        <is>
          <t>Healer</t>
        </is>
      </c>
      <c r="I543" s="18" t="n">
        <v>0</v>
      </c>
      <c r="J543" s="18" t="n">
        <v>4</v>
      </c>
      <c r="K543" s="18" t="n">
        <v>397</v>
      </c>
      <c r="L543" s="18" t="n">
        <v>399</v>
      </c>
      <c r="M543" s="18" t="n">
        <v>446</v>
      </c>
      <c r="N543" s="18" t="n">
        <v>415</v>
      </c>
      <c r="O543" s="18" t="n">
        <v>378</v>
      </c>
      <c r="P543" s="18" t="n">
        <v>361</v>
      </c>
      <c r="Q543" s="18" t="n">
        <v>40</v>
      </c>
      <c r="R543" s="18" t="n">
        <v>40</v>
      </c>
      <c r="S543" s="18" t="n">
        <v>45</v>
      </c>
      <c r="T543" s="18" t="n">
        <v>42</v>
      </c>
      <c r="U543" s="18" t="n">
        <v>38</v>
      </c>
      <c r="V543" s="18" t="n">
        <v>37</v>
      </c>
      <c r="W543" s="20" t="n"/>
      <c r="X543" s="20" t="n"/>
      <c r="Y543" s="20" t="n"/>
      <c r="Z543" s="20" t="n"/>
      <c r="AA543" s="20" t="n"/>
      <c r="AB543" s="20" t="n"/>
      <c r="AC543" s="21">
        <f>IF(W543="","",W543-K543)</f>
        <v/>
      </c>
      <c r="AD543" s="21">
        <f>IF(X543="","",X543-L543)</f>
        <v/>
      </c>
      <c r="AE543" s="21">
        <f>IF(Y543="","",Y543-M543)</f>
        <v/>
      </c>
      <c r="AF543" s="21">
        <f>IF(Z543="","",Z543-N543)</f>
        <v/>
      </c>
      <c r="AG543" s="21">
        <f>IF(AA543="","",AA543-O543)</f>
        <v/>
      </c>
      <c r="AH543" s="21">
        <f>IF(AB543="","",AB543-P543)</f>
        <v/>
      </c>
      <c r="AI543" s="18">
        <f>IF(COUNTA(W543:AB543)=0,"未入力",IF(COUNTA(W543:AB543)&lt;6,"一部入力",IF(COUNTIF(AC543:AH543,0)=6,"一致","差分あり")))</f>
        <v/>
      </c>
      <c r="AJ5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3" s="19" t="inlineStr"/>
      <c r="AL543" s="18" t="inlineStr">
        <is>
          <t>2026-06-29</t>
        </is>
      </c>
    </row>
    <row r="544" ht="22" customHeight="1">
      <c r="A544" s="17" t="inlineStr">
        <is>
          <t>1007104-LB4</t>
        </is>
      </c>
      <c r="B544" s="18" t="n">
        <v>1007104</v>
      </c>
      <c r="C544" s="17" t="inlineStr">
        <is>
          <t>MYanagi04</t>
        </is>
      </c>
      <c r="D544" s="17" t="inlineStr">
        <is>
          <t>MYanagi</t>
        </is>
      </c>
      <c r="E544" s="17" t="inlineStr">
        <is>
          <t>柳 美音</t>
        </is>
      </c>
      <c r="F544" s="19" t="inlineStr">
        <is>
          <t>夜風のChill Time</t>
        </is>
      </c>
      <c r="G544" s="18" t="inlineStr">
        <is>
          <t>SS</t>
        </is>
      </c>
      <c r="H544" s="17" t="inlineStr">
        <is>
          <t>Healer</t>
        </is>
      </c>
      <c r="I544" s="18" t="n">
        <v>4</v>
      </c>
      <c r="J544" s="18" t="n">
        <v>4</v>
      </c>
      <c r="K544" s="18" t="n">
        <v>484</v>
      </c>
      <c r="L544" s="18" t="n">
        <v>486</v>
      </c>
      <c r="M544" s="18" t="n">
        <v>537</v>
      </c>
      <c r="N544" s="18" t="n">
        <v>504</v>
      </c>
      <c r="O544" s="18" t="n">
        <v>463</v>
      </c>
      <c r="P544" s="18" t="n">
        <v>448</v>
      </c>
      <c r="Q544" s="18" t="n">
        <v>49</v>
      </c>
      <c r="R544" s="18" t="n">
        <v>49</v>
      </c>
      <c r="S544" s="18" t="n">
        <v>54</v>
      </c>
      <c r="T544" s="18" t="n">
        <v>51</v>
      </c>
      <c r="U544" s="18" t="n">
        <v>47</v>
      </c>
      <c r="V544" s="18" t="n">
        <v>45</v>
      </c>
      <c r="W544" s="20" t="n"/>
      <c r="X544" s="20" t="n"/>
      <c r="Y544" s="20" t="n"/>
      <c r="Z544" s="20" t="n"/>
      <c r="AA544" s="20" t="n"/>
      <c r="AB544" s="20" t="n"/>
      <c r="AC544" s="21">
        <f>IF(W544="","",W544-K544)</f>
        <v/>
      </c>
      <c r="AD544" s="21">
        <f>IF(X544="","",X544-L544)</f>
        <v/>
      </c>
      <c r="AE544" s="21">
        <f>IF(Y544="","",Y544-M544)</f>
        <v/>
      </c>
      <c r="AF544" s="21">
        <f>IF(Z544="","",Z544-N544)</f>
        <v/>
      </c>
      <c r="AG544" s="21">
        <f>IF(AA544="","",AA544-O544)</f>
        <v/>
      </c>
      <c r="AH544" s="21">
        <f>IF(AB544="","",AB544-P544)</f>
        <v/>
      </c>
      <c r="AI544" s="18">
        <f>IF(COUNTA(W544:AB544)=0,"未入力",IF(COUNTA(W544:AB544)&lt;6,"一部入力",IF(COUNTIF(AC544:AH544,0)=6,"一致","差分あり")))</f>
        <v/>
      </c>
      <c r="AJ5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4" s="19" t="inlineStr"/>
      <c r="AL544" s="18" t="inlineStr">
        <is>
          <t>2026-06-29</t>
        </is>
      </c>
    </row>
    <row r="545" ht="22" customHeight="1">
      <c r="A545" s="17" t="inlineStr">
        <is>
          <t>1007105-LB0</t>
        </is>
      </c>
      <c r="B545" s="18" t="n">
        <v>1007105</v>
      </c>
      <c r="C545" s="17" t="inlineStr">
        <is>
          <t>MYanagi05</t>
        </is>
      </c>
      <c r="D545" s="17" t="inlineStr">
        <is>
          <t>MYanagi</t>
        </is>
      </c>
      <c r="E545" s="17" t="inlineStr">
        <is>
          <t>柳 美音</t>
        </is>
      </c>
      <c r="F545" s="19" t="inlineStr">
        <is>
          <t>執事の嗜み</t>
        </is>
      </c>
      <c r="G545" s="18" t="inlineStr">
        <is>
          <t>S</t>
        </is>
      </c>
      <c r="H545" s="17" t="inlineStr">
        <is>
          <t>Buffer</t>
        </is>
      </c>
      <c r="I545" s="18" t="n">
        <v>0</v>
      </c>
      <c r="J545" s="18" t="n">
        <v>10</v>
      </c>
      <c r="K545" s="18" t="n">
        <v>316</v>
      </c>
      <c r="L545" s="18" t="n">
        <v>317</v>
      </c>
      <c r="M545" s="18" t="n">
        <v>360</v>
      </c>
      <c r="N545" s="18" t="n">
        <v>353</v>
      </c>
      <c r="O545" s="18" t="n">
        <v>300</v>
      </c>
      <c r="P545" s="18" t="n">
        <v>304</v>
      </c>
      <c r="Q545" s="18" t="n">
        <v>32</v>
      </c>
      <c r="R545" s="18" t="n">
        <v>32</v>
      </c>
      <c r="S545" s="18" t="n">
        <v>36</v>
      </c>
      <c r="T545" s="18" t="n">
        <v>36</v>
      </c>
      <c r="U545" s="18" t="n">
        <v>30</v>
      </c>
      <c r="V545" s="18" t="n">
        <v>31</v>
      </c>
      <c r="W545" s="20" t="n"/>
      <c r="X545" s="20" t="n"/>
      <c r="Y545" s="20" t="n"/>
      <c r="Z545" s="20" t="n"/>
      <c r="AA545" s="20" t="n"/>
      <c r="AB545" s="20" t="n"/>
      <c r="AC545" s="21">
        <f>IF(W545="","",W545-K545)</f>
        <v/>
      </c>
      <c r="AD545" s="21">
        <f>IF(X545="","",X545-L545)</f>
        <v/>
      </c>
      <c r="AE545" s="21">
        <f>IF(Y545="","",Y545-M545)</f>
        <v/>
      </c>
      <c r="AF545" s="21">
        <f>IF(Z545="","",Z545-N545)</f>
        <v/>
      </c>
      <c r="AG545" s="21">
        <f>IF(AA545="","",AA545-O545)</f>
        <v/>
      </c>
      <c r="AH545" s="21">
        <f>IF(AB545="","",AB545-P545)</f>
        <v/>
      </c>
      <c r="AI545" s="18">
        <f>IF(COUNTA(W545:AB545)=0,"未入力",IF(COUNTA(W545:AB545)&lt;6,"一部入力",IF(COUNTIF(AC545:AH545,0)=6,"一致","差分あり")))</f>
        <v/>
      </c>
      <c r="AJ5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5" s="19" t="inlineStr"/>
      <c r="AL545" s="18" t="inlineStr">
        <is>
          <t>2026-06-29</t>
        </is>
      </c>
    </row>
    <row r="546" ht="22" customHeight="1">
      <c r="A546" s="17" t="inlineStr">
        <is>
          <t>1007105-LB10</t>
        </is>
      </c>
      <c r="B546" s="18" t="n">
        <v>1007105</v>
      </c>
      <c r="C546" s="17" t="inlineStr">
        <is>
          <t>MYanagi05</t>
        </is>
      </c>
      <c r="D546" s="17" t="inlineStr">
        <is>
          <t>MYanagi</t>
        </is>
      </c>
      <c r="E546" s="17" t="inlineStr">
        <is>
          <t>柳 美音</t>
        </is>
      </c>
      <c r="F546" s="19" t="inlineStr">
        <is>
          <t>執事の嗜み</t>
        </is>
      </c>
      <c r="G546" s="18" t="inlineStr">
        <is>
          <t>S</t>
        </is>
      </c>
      <c r="H546" s="17" t="inlineStr">
        <is>
          <t>Buffer</t>
        </is>
      </c>
      <c r="I546" s="18" t="n">
        <v>10</v>
      </c>
      <c r="J546" s="18" t="n">
        <v>10</v>
      </c>
      <c r="K546" s="18" t="n">
        <v>381</v>
      </c>
      <c r="L546" s="18" t="n">
        <v>383</v>
      </c>
      <c r="M546" s="18" t="n">
        <v>428</v>
      </c>
      <c r="N546" s="18" t="n">
        <v>419</v>
      </c>
      <c r="O546" s="18" t="n">
        <v>364</v>
      </c>
      <c r="P546" s="18" t="n">
        <v>369</v>
      </c>
      <c r="Q546" s="18" t="n">
        <v>39</v>
      </c>
      <c r="R546" s="18" t="n">
        <v>39</v>
      </c>
      <c r="S546" s="18" t="n">
        <v>43</v>
      </c>
      <c r="T546" s="18" t="n">
        <v>42</v>
      </c>
      <c r="U546" s="18" t="n">
        <v>37</v>
      </c>
      <c r="V546" s="18" t="n">
        <v>37</v>
      </c>
      <c r="W546" s="20" t="n"/>
      <c r="X546" s="20" t="n"/>
      <c r="Y546" s="20" t="n"/>
      <c r="Z546" s="20" t="n"/>
      <c r="AA546" s="20" t="n"/>
      <c r="AB546" s="20" t="n"/>
      <c r="AC546" s="21">
        <f>IF(W546="","",W546-K546)</f>
        <v/>
      </c>
      <c r="AD546" s="21">
        <f>IF(X546="","",X546-L546)</f>
        <v/>
      </c>
      <c r="AE546" s="21">
        <f>IF(Y546="","",Y546-M546)</f>
        <v/>
      </c>
      <c r="AF546" s="21">
        <f>IF(Z546="","",Z546-N546)</f>
        <v/>
      </c>
      <c r="AG546" s="21">
        <f>IF(AA546="","",AA546-O546)</f>
        <v/>
      </c>
      <c r="AH546" s="21">
        <f>IF(AB546="","",AB546-P546)</f>
        <v/>
      </c>
      <c r="AI546" s="18">
        <f>IF(COUNTA(W546:AB546)=0,"未入力",IF(COUNTA(W546:AB546)&lt;6,"一部入力",IF(COUNTIF(AC546:AH546,0)=6,"一致","差分あり")))</f>
        <v/>
      </c>
      <c r="AJ5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6" s="19" t="inlineStr"/>
      <c r="AL546" s="18" t="inlineStr">
        <is>
          <t>2026-06-29</t>
        </is>
      </c>
    </row>
    <row r="547" ht="22" customHeight="1">
      <c r="A547" s="17" t="inlineStr">
        <is>
          <t>1007106-LB0</t>
        </is>
      </c>
      <c r="B547" s="18" t="n">
        <v>1007106</v>
      </c>
      <c r="C547" s="17" t="inlineStr">
        <is>
          <t>MYanagi06</t>
        </is>
      </c>
      <c r="D547" s="17" t="inlineStr">
        <is>
          <t>MYanagi</t>
        </is>
      </c>
      <c r="E547" s="17" t="inlineStr">
        <is>
          <t>柳 美音</t>
        </is>
      </c>
      <c r="F547" s="19" t="inlineStr">
        <is>
          <t>夜の香り、薔薇の調べ</t>
        </is>
      </c>
      <c r="G547" s="18" t="inlineStr">
        <is>
          <t>SSR</t>
        </is>
      </c>
      <c r="H547" s="17" t="inlineStr">
        <is>
          <t>Admiral</t>
        </is>
      </c>
      <c r="I547" s="18" t="n">
        <v>0</v>
      </c>
      <c r="J547" s="18" t="n">
        <v>4</v>
      </c>
      <c r="K547" s="18" t="n">
        <v>397</v>
      </c>
      <c r="L547" s="18" t="n">
        <v>399</v>
      </c>
      <c r="M547" s="18" t="n">
        <v>446</v>
      </c>
      <c r="N547" s="18" t="n">
        <v>415</v>
      </c>
      <c r="O547" s="18" t="n">
        <v>378</v>
      </c>
      <c r="P547" s="18" t="n">
        <v>361</v>
      </c>
      <c r="Q547" s="18" t="n">
        <v>40</v>
      </c>
      <c r="R547" s="18" t="n">
        <v>40</v>
      </c>
      <c r="S547" s="18" t="n">
        <v>45</v>
      </c>
      <c r="T547" s="18" t="n">
        <v>42</v>
      </c>
      <c r="U547" s="18" t="n">
        <v>38</v>
      </c>
      <c r="V547" s="18" t="n">
        <v>37</v>
      </c>
      <c r="W547" s="20" t="n"/>
      <c r="X547" s="20" t="n"/>
      <c r="Y547" s="20" t="n"/>
      <c r="Z547" s="20" t="n"/>
      <c r="AA547" s="20" t="n"/>
      <c r="AB547" s="20" t="n"/>
      <c r="AC547" s="21">
        <f>IF(W547="","",W547-K547)</f>
        <v/>
      </c>
      <c r="AD547" s="21">
        <f>IF(X547="","",X547-L547)</f>
        <v/>
      </c>
      <c r="AE547" s="21">
        <f>IF(Y547="","",Y547-M547)</f>
        <v/>
      </c>
      <c r="AF547" s="21">
        <f>IF(Z547="","",Z547-N547)</f>
        <v/>
      </c>
      <c r="AG547" s="21">
        <f>IF(AA547="","",AA547-O547)</f>
        <v/>
      </c>
      <c r="AH547" s="21">
        <f>IF(AB547="","",AB547-P547)</f>
        <v/>
      </c>
      <c r="AI547" s="18">
        <f>IF(COUNTA(W547:AB547)=0,"未入力",IF(COUNTA(W547:AB547)&lt;6,"一部入力",IF(COUNTIF(AC547:AH547,0)=6,"一致","差分あり")))</f>
        <v/>
      </c>
      <c r="AJ5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7" s="19" t="inlineStr"/>
      <c r="AL547" s="18" t="inlineStr">
        <is>
          <t>2026-06-29</t>
        </is>
      </c>
    </row>
    <row r="548" ht="22" customHeight="1">
      <c r="A548" s="17" t="inlineStr">
        <is>
          <t>1007106-LB4</t>
        </is>
      </c>
      <c r="B548" s="18" t="n">
        <v>1007106</v>
      </c>
      <c r="C548" s="17" t="inlineStr">
        <is>
          <t>MYanagi06</t>
        </is>
      </c>
      <c r="D548" s="17" t="inlineStr">
        <is>
          <t>MYanagi</t>
        </is>
      </c>
      <c r="E548" s="17" t="inlineStr">
        <is>
          <t>柳 美音</t>
        </is>
      </c>
      <c r="F548" s="19" t="inlineStr">
        <is>
          <t>夜の香り、薔薇の調べ</t>
        </is>
      </c>
      <c r="G548" s="18" t="inlineStr">
        <is>
          <t>SSR</t>
        </is>
      </c>
      <c r="H548" s="17" t="inlineStr">
        <is>
          <t>Admiral</t>
        </is>
      </c>
      <c r="I548" s="18" t="n">
        <v>4</v>
      </c>
      <c r="J548" s="18" t="n">
        <v>4</v>
      </c>
      <c r="K548" s="18" t="n">
        <v>484</v>
      </c>
      <c r="L548" s="18" t="n">
        <v>486</v>
      </c>
      <c r="M548" s="18" t="n">
        <v>537</v>
      </c>
      <c r="N548" s="18" t="n">
        <v>504</v>
      </c>
      <c r="O548" s="18" t="n">
        <v>463</v>
      </c>
      <c r="P548" s="18" t="n">
        <v>448</v>
      </c>
      <c r="Q548" s="18" t="n">
        <v>49</v>
      </c>
      <c r="R548" s="18" t="n">
        <v>49</v>
      </c>
      <c r="S548" s="18" t="n">
        <v>54</v>
      </c>
      <c r="T548" s="18" t="n">
        <v>51</v>
      </c>
      <c r="U548" s="18" t="n">
        <v>47</v>
      </c>
      <c r="V548" s="18" t="n">
        <v>45</v>
      </c>
      <c r="W548" s="20" t="n"/>
      <c r="X548" s="20" t="n"/>
      <c r="Y548" s="20" t="n"/>
      <c r="Z548" s="20" t="n"/>
      <c r="AA548" s="20" t="n"/>
      <c r="AB548" s="20" t="n"/>
      <c r="AC548" s="21">
        <f>IF(W548="","",W548-K548)</f>
        <v/>
      </c>
      <c r="AD548" s="21">
        <f>IF(X548="","",X548-L548)</f>
        <v/>
      </c>
      <c r="AE548" s="21">
        <f>IF(Y548="","",Y548-M548)</f>
        <v/>
      </c>
      <c r="AF548" s="21">
        <f>IF(Z548="","",Z548-N548)</f>
        <v/>
      </c>
      <c r="AG548" s="21">
        <f>IF(AA548="","",AA548-O548)</f>
        <v/>
      </c>
      <c r="AH548" s="21">
        <f>IF(AB548="","",AB548-P548)</f>
        <v/>
      </c>
      <c r="AI548" s="18">
        <f>IF(COUNTA(W548:AB548)=0,"未入力",IF(COUNTA(W548:AB548)&lt;6,"一部入力",IF(COUNTIF(AC548:AH548,0)=6,"一致","差分あり")))</f>
        <v/>
      </c>
      <c r="AJ5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8" s="19" t="inlineStr"/>
      <c r="AL548" s="18" t="inlineStr">
        <is>
          <t>2026-06-29</t>
        </is>
      </c>
    </row>
    <row r="549" ht="22" customHeight="1">
      <c r="A549" s="17" t="inlineStr">
        <is>
          <t>1007201-LB0</t>
        </is>
      </c>
      <c r="B549" s="18" t="n">
        <v>1007201</v>
      </c>
      <c r="C549" s="17" t="inlineStr">
        <is>
          <t>KMaruyama01</t>
        </is>
      </c>
      <c r="D549" s="17" t="inlineStr">
        <is>
          <t>KMaruyama</t>
        </is>
      </c>
      <c r="E549" s="17" t="inlineStr">
        <is>
          <t>丸山 奏多</t>
        </is>
      </c>
      <c r="F549" s="19" t="inlineStr">
        <is>
          <t>リトルハイセンス</t>
        </is>
      </c>
      <c r="G549" s="18" t="inlineStr">
        <is>
          <t>A</t>
        </is>
      </c>
      <c r="H549" s="17" t="inlineStr">
        <is>
          <t>Breaker</t>
        </is>
      </c>
      <c r="I549" s="18" t="n">
        <v>0</v>
      </c>
      <c r="J549" s="18" t="n">
        <v>20</v>
      </c>
      <c r="K549" s="18" t="n">
        <v>278</v>
      </c>
      <c r="L549" s="18" t="n">
        <v>285</v>
      </c>
      <c r="M549" s="18" t="n">
        <v>290</v>
      </c>
      <c r="N549" s="18" t="n">
        <v>290</v>
      </c>
      <c r="O549" s="18" t="n">
        <v>247</v>
      </c>
      <c r="P549" s="18" t="n">
        <v>246</v>
      </c>
      <c r="Q549" s="18" t="n">
        <v>28</v>
      </c>
      <c r="R549" s="18" t="n">
        <v>29</v>
      </c>
      <c r="S549" s="18" t="n">
        <v>29</v>
      </c>
      <c r="T549" s="18" t="n">
        <v>29</v>
      </c>
      <c r="U549" s="18" t="n">
        <v>25</v>
      </c>
      <c r="V549" s="18" t="n">
        <v>25</v>
      </c>
      <c r="W549" s="20" t="n"/>
      <c r="X549" s="20" t="n"/>
      <c r="Y549" s="20" t="n"/>
      <c r="Z549" s="20" t="n"/>
      <c r="AA549" s="20" t="n"/>
      <c r="AB549" s="20" t="n"/>
      <c r="AC549" s="21">
        <f>IF(W549="","",W549-K549)</f>
        <v/>
      </c>
      <c r="AD549" s="21">
        <f>IF(X549="","",X549-L549)</f>
        <v/>
      </c>
      <c r="AE549" s="21">
        <f>IF(Y549="","",Y549-M549)</f>
        <v/>
      </c>
      <c r="AF549" s="21">
        <f>IF(Z549="","",Z549-N549)</f>
        <v/>
      </c>
      <c r="AG549" s="21">
        <f>IF(AA549="","",AA549-O549)</f>
        <v/>
      </c>
      <c r="AH549" s="21">
        <f>IF(AB549="","",AB549-P549)</f>
        <v/>
      </c>
      <c r="AI549" s="18">
        <f>IF(COUNTA(W549:AB549)=0,"未入力",IF(COUNTA(W549:AB549)&lt;6,"一部入力",IF(COUNTIF(AC549:AH549,0)=6,"一致","差分あり")))</f>
        <v/>
      </c>
      <c r="AJ5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49" s="19" t="inlineStr"/>
      <c r="AL549" s="18" t="inlineStr">
        <is>
          <t>2026-06-29</t>
        </is>
      </c>
    </row>
    <row r="550" ht="22" customHeight="1">
      <c r="A550" s="17" t="inlineStr">
        <is>
          <t>1007201-LB20</t>
        </is>
      </c>
      <c r="B550" s="18" t="n">
        <v>1007201</v>
      </c>
      <c r="C550" s="17" t="inlineStr">
        <is>
          <t>KMaruyama01</t>
        </is>
      </c>
      <c r="D550" s="17" t="inlineStr">
        <is>
          <t>KMaruyama</t>
        </is>
      </c>
      <c r="E550" s="17" t="inlineStr">
        <is>
          <t>丸山 奏多</t>
        </is>
      </c>
      <c r="F550" s="19" t="inlineStr">
        <is>
          <t>リトルハイセンス</t>
        </is>
      </c>
      <c r="G550" s="18" t="inlineStr">
        <is>
          <t>A</t>
        </is>
      </c>
      <c r="H550" s="17" t="inlineStr">
        <is>
          <t>Breaker</t>
        </is>
      </c>
      <c r="I550" s="18" t="n">
        <v>20</v>
      </c>
      <c r="J550" s="18" t="n">
        <v>20</v>
      </c>
      <c r="K550" s="18" t="n">
        <v>322</v>
      </c>
      <c r="L550" s="18" t="n">
        <v>330</v>
      </c>
      <c r="M550" s="18" t="n">
        <v>335</v>
      </c>
      <c r="N550" s="18" t="n">
        <v>334</v>
      </c>
      <c r="O550" s="18" t="n">
        <v>291</v>
      </c>
      <c r="P550" s="18" t="n">
        <v>290</v>
      </c>
      <c r="Q550" s="18" t="n">
        <v>33</v>
      </c>
      <c r="R550" s="18" t="n">
        <v>33</v>
      </c>
      <c r="S550" s="18" t="n">
        <v>34</v>
      </c>
      <c r="T550" s="18" t="n">
        <v>34</v>
      </c>
      <c r="U550" s="18" t="n">
        <v>30</v>
      </c>
      <c r="V550" s="18" t="n">
        <v>29</v>
      </c>
      <c r="W550" s="20" t="n"/>
      <c r="X550" s="20" t="n"/>
      <c r="Y550" s="20" t="n"/>
      <c r="Z550" s="20" t="n"/>
      <c r="AA550" s="20" t="n"/>
      <c r="AB550" s="20" t="n"/>
      <c r="AC550" s="21">
        <f>IF(W550="","",W550-K550)</f>
        <v/>
      </c>
      <c r="AD550" s="21">
        <f>IF(X550="","",X550-L550)</f>
        <v/>
      </c>
      <c r="AE550" s="21">
        <f>IF(Y550="","",Y550-M550)</f>
        <v/>
      </c>
      <c r="AF550" s="21">
        <f>IF(Z550="","",Z550-N550)</f>
        <v/>
      </c>
      <c r="AG550" s="21">
        <f>IF(AA550="","",AA550-O550)</f>
        <v/>
      </c>
      <c r="AH550" s="21">
        <f>IF(AB550="","",AB550-P550)</f>
        <v/>
      </c>
      <c r="AI550" s="18">
        <f>IF(COUNTA(W550:AB550)=0,"未入力",IF(COUNTA(W550:AB550)&lt;6,"一部入力",IF(COUNTIF(AC550:AH550,0)=6,"一致","差分あり")))</f>
        <v/>
      </c>
      <c r="AJ5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0" s="19" t="inlineStr"/>
      <c r="AL550" s="18" t="inlineStr">
        <is>
          <t>2026-06-29</t>
        </is>
      </c>
    </row>
    <row r="551" ht="22" customHeight="1">
      <c r="A551" s="17" t="inlineStr">
        <is>
          <t>1007202-LB0</t>
        </is>
      </c>
      <c r="B551" s="18" t="n">
        <v>1007202</v>
      </c>
      <c r="C551" s="17" t="inlineStr">
        <is>
          <t>KMaruyama02</t>
        </is>
      </c>
      <c r="D551" s="17" t="inlineStr">
        <is>
          <t>KMaruyama</t>
        </is>
      </c>
      <c r="E551" s="17" t="inlineStr">
        <is>
          <t>丸山 奏多</t>
        </is>
      </c>
      <c r="F551" s="19" t="inlineStr">
        <is>
          <t>お嬢様は端麗</t>
        </is>
      </c>
      <c r="G551" s="18" t="inlineStr">
        <is>
          <t>S</t>
        </is>
      </c>
      <c r="H551" s="17" t="inlineStr">
        <is>
          <t>Breaker</t>
        </is>
      </c>
      <c r="I551" s="18" t="n">
        <v>0</v>
      </c>
      <c r="J551" s="18" t="n">
        <v>10</v>
      </c>
      <c r="K551" s="18" t="n">
        <v>348</v>
      </c>
      <c r="L551" s="18" t="n">
        <v>313</v>
      </c>
      <c r="M551" s="18" t="n">
        <v>307</v>
      </c>
      <c r="N551" s="18" t="n">
        <v>317</v>
      </c>
      <c r="O551" s="18" t="n">
        <v>318</v>
      </c>
      <c r="P551" s="18" t="n">
        <v>350</v>
      </c>
      <c r="Q551" s="18" t="n">
        <v>35</v>
      </c>
      <c r="R551" s="18" t="n">
        <v>32</v>
      </c>
      <c r="S551" s="18" t="n">
        <v>31</v>
      </c>
      <c r="T551" s="18" t="n">
        <v>32</v>
      </c>
      <c r="U551" s="18" t="n">
        <v>32</v>
      </c>
      <c r="V551" s="18" t="n">
        <v>35</v>
      </c>
      <c r="W551" s="20" t="n"/>
      <c r="X551" s="20" t="n"/>
      <c r="Y551" s="20" t="n"/>
      <c r="Z551" s="20" t="n"/>
      <c r="AA551" s="20" t="n"/>
      <c r="AB551" s="20" t="n"/>
      <c r="AC551" s="21">
        <f>IF(W551="","",W551-K551)</f>
        <v/>
      </c>
      <c r="AD551" s="21">
        <f>IF(X551="","",X551-L551)</f>
        <v/>
      </c>
      <c r="AE551" s="21">
        <f>IF(Y551="","",Y551-M551)</f>
        <v/>
      </c>
      <c r="AF551" s="21">
        <f>IF(Z551="","",Z551-N551)</f>
        <v/>
      </c>
      <c r="AG551" s="21">
        <f>IF(AA551="","",AA551-O551)</f>
        <v/>
      </c>
      <c r="AH551" s="21">
        <f>IF(AB551="","",AB551-P551)</f>
        <v/>
      </c>
      <c r="AI551" s="18">
        <f>IF(COUNTA(W551:AB551)=0,"未入力",IF(COUNTA(W551:AB551)&lt;6,"一部入力",IF(COUNTIF(AC551:AH551,0)=6,"一致","差分あり")))</f>
        <v/>
      </c>
      <c r="AJ5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1" s="19" t="inlineStr"/>
      <c r="AL551" s="18" t="inlineStr">
        <is>
          <t>2026-06-29</t>
        </is>
      </c>
    </row>
    <row r="552" ht="22" customHeight="1">
      <c r="A552" s="17" t="inlineStr">
        <is>
          <t>1007202-LB10</t>
        </is>
      </c>
      <c r="B552" s="18" t="n">
        <v>1007202</v>
      </c>
      <c r="C552" s="17" t="inlineStr">
        <is>
          <t>KMaruyama02</t>
        </is>
      </c>
      <c r="D552" s="17" t="inlineStr">
        <is>
          <t>KMaruyama</t>
        </is>
      </c>
      <c r="E552" s="17" t="inlineStr">
        <is>
          <t>丸山 奏多</t>
        </is>
      </c>
      <c r="F552" s="19" t="inlineStr">
        <is>
          <t>お嬢様は端麗</t>
        </is>
      </c>
      <c r="G552" s="18" t="inlineStr">
        <is>
          <t>S</t>
        </is>
      </c>
      <c r="H552" s="17" t="inlineStr">
        <is>
          <t>Breaker</t>
        </is>
      </c>
      <c r="I552" s="18" t="n">
        <v>10</v>
      </c>
      <c r="J552" s="18" t="n">
        <v>10</v>
      </c>
      <c r="K552" s="18" t="n">
        <v>414</v>
      </c>
      <c r="L552" s="18" t="n">
        <v>380</v>
      </c>
      <c r="M552" s="18" t="n">
        <v>373</v>
      </c>
      <c r="N552" s="18" t="n">
        <v>383</v>
      </c>
      <c r="O552" s="18" t="n">
        <v>384</v>
      </c>
      <c r="P552" s="18" t="n">
        <v>416</v>
      </c>
      <c r="Q552" s="18" t="n">
        <v>42</v>
      </c>
      <c r="R552" s="18" t="n">
        <v>38</v>
      </c>
      <c r="S552" s="18" t="n">
        <v>38</v>
      </c>
      <c r="T552" s="18" t="n">
        <v>39</v>
      </c>
      <c r="U552" s="18" t="n">
        <v>39</v>
      </c>
      <c r="V552" s="18" t="n">
        <v>42</v>
      </c>
      <c r="W552" s="20" t="n"/>
      <c r="X552" s="20" t="n"/>
      <c r="Y552" s="20" t="n"/>
      <c r="Z552" s="20" t="n"/>
      <c r="AA552" s="20" t="n"/>
      <c r="AB552" s="20" t="n"/>
      <c r="AC552" s="21">
        <f>IF(W552="","",W552-K552)</f>
        <v/>
      </c>
      <c r="AD552" s="21">
        <f>IF(X552="","",X552-L552)</f>
        <v/>
      </c>
      <c r="AE552" s="21">
        <f>IF(Y552="","",Y552-M552)</f>
        <v/>
      </c>
      <c r="AF552" s="21">
        <f>IF(Z552="","",Z552-N552)</f>
        <v/>
      </c>
      <c r="AG552" s="21">
        <f>IF(AA552="","",AA552-O552)</f>
        <v/>
      </c>
      <c r="AH552" s="21">
        <f>IF(AB552="","",AB552-P552)</f>
        <v/>
      </c>
      <c r="AI552" s="18">
        <f>IF(COUNTA(W552:AB552)=0,"未入力",IF(COUNTA(W552:AB552)&lt;6,"一部入力",IF(COUNTIF(AC552:AH552,0)=6,"一致","差分あり")))</f>
        <v/>
      </c>
      <c r="AJ5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2" s="19" t="inlineStr"/>
      <c r="AL552" s="18" t="inlineStr">
        <is>
          <t>2026-06-29</t>
        </is>
      </c>
    </row>
    <row r="553" ht="22" customHeight="1">
      <c r="A553" s="17" t="inlineStr">
        <is>
          <t>1007203-LB0</t>
        </is>
      </c>
      <c r="B553" s="18" t="n">
        <v>1007203</v>
      </c>
      <c r="C553" s="17" t="inlineStr">
        <is>
          <t>KMaruyama03</t>
        </is>
      </c>
      <c r="D553" s="17" t="inlineStr">
        <is>
          <t>KMaruyama</t>
        </is>
      </c>
      <c r="E553" s="17" t="inlineStr">
        <is>
          <t>丸山 奏多</t>
        </is>
      </c>
      <c r="F553" s="19" t="inlineStr">
        <is>
          <t>エボリューションな感受性</t>
        </is>
      </c>
      <c r="G553" s="18" t="inlineStr">
        <is>
          <t>SS</t>
        </is>
      </c>
      <c r="H553" s="17" t="inlineStr">
        <is>
          <t>Breaker</t>
        </is>
      </c>
      <c r="I553" s="18" t="n">
        <v>0</v>
      </c>
      <c r="J553" s="18" t="n">
        <v>4</v>
      </c>
      <c r="K553" s="18" t="n">
        <v>341</v>
      </c>
      <c r="L553" s="18" t="n">
        <v>420</v>
      </c>
      <c r="M553" s="18" t="n">
        <v>378</v>
      </c>
      <c r="N553" s="18" t="n">
        <v>364</v>
      </c>
      <c r="O553" s="18" t="n">
        <v>391</v>
      </c>
      <c r="P553" s="18" t="n">
        <v>377</v>
      </c>
      <c r="Q553" s="18" t="n">
        <v>35</v>
      </c>
      <c r="R553" s="18" t="n">
        <v>42</v>
      </c>
      <c r="S553" s="18" t="n">
        <v>38</v>
      </c>
      <c r="T553" s="18" t="n">
        <v>37</v>
      </c>
      <c r="U553" s="18" t="n">
        <v>40</v>
      </c>
      <c r="V553" s="18" t="n">
        <v>38</v>
      </c>
      <c r="W553" s="20" t="n"/>
      <c r="X553" s="20" t="n"/>
      <c r="Y553" s="20" t="n"/>
      <c r="Z553" s="20" t="n"/>
      <c r="AA553" s="20" t="n"/>
      <c r="AB553" s="20" t="n"/>
      <c r="AC553" s="21">
        <f>IF(W553="","",W553-K553)</f>
        <v/>
      </c>
      <c r="AD553" s="21">
        <f>IF(X553="","",X553-L553)</f>
        <v/>
      </c>
      <c r="AE553" s="21">
        <f>IF(Y553="","",Y553-M553)</f>
        <v/>
      </c>
      <c r="AF553" s="21">
        <f>IF(Z553="","",Z553-N553)</f>
        <v/>
      </c>
      <c r="AG553" s="21">
        <f>IF(AA553="","",AA553-O553)</f>
        <v/>
      </c>
      <c r="AH553" s="21">
        <f>IF(AB553="","",AB553-P553)</f>
        <v/>
      </c>
      <c r="AI553" s="18">
        <f>IF(COUNTA(W553:AB553)=0,"未入力",IF(COUNTA(W553:AB553)&lt;6,"一部入力",IF(COUNTIF(AC553:AH553,0)=6,"一致","差分あり")))</f>
        <v/>
      </c>
      <c r="AJ5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3" s="19" t="inlineStr"/>
      <c r="AL553" s="18" t="inlineStr">
        <is>
          <t>2026-06-29</t>
        </is>
      </c>
    </row>
    <row r="554" ht="22" customHeight="1">
      <c r="A554" s="17" t="inlineStr">
        <is>
          <t>1007203-LB4</t>
        </is>
      </c>
      <c r="B554" s="18" t="n">
        <v>1007203</v>
      </c>
      <c r="C554" s="17" t="inlineStr">
        <is>
          <t>KMaruyama03</t>
        </is>
      </c>
      <c r="D554" s="17" t="inlineStr">
        <is>
          <t>KMaruyama</t>
        </is>
      </c>
      <c r="E554" s="17" t="inlineStr">
        <is>
          <t>丸山 奏多</t>
        </is>
      </c>
      <c r="F554" s="19" t="inlineStr">
        <is>
          <t>エボリューションな感受性</t>
        </is>
      </c>
      <c r="G554" s="18" t="inlineStr">
        <is>
          <t>SS</t>
        </is>
      </c>
      <c r="H554" s="17" t="inlineStr">
        <is>
          <t>Breaker</t>
        </is>
      </c>
      <c r="I554" s="18" t="n">
        <v>4</v>
      </c>
      <c r="J554" s="18" t="n">
        <v>4</v>
      </c>
      <c r="K554" s="18" t="n">
        <v>428</v>
      </c>
      <c r="L554" s="18" t="n">
        <v>510</v>
      </c>
      <c r="M554" s="18" t="n">
        <v>466</v>
      </c>
      <c r="N554" s="18" t="n">
        <v>452</v>
      </c>
      <c r="O554" s="18" t="n">
        <v>479</v>
      </c>
      <c r="P554" s="18" t="n">
        <v>465</v>
      </c>
      <c r="Q554" s="18" t="n">
        <v>43</v>
      </c>
      <c r="R554" s="18" t="n">
        <v>51</v>
      </c>
      <c r="S554" s="18" t="n">
        <v>47</v>
      </c>
      <c r="T554" s="18" t="n">
        <v>46</v>
      </c>
      <c r="U554" s="18" t="n">
        <v>48</v>
      </c>
      <c r="V554" s="18" t="n">
        <v>47</v>
      </c>
      <c r="W554" s="20" t="n"/>
      <c r="X554" s="20" t="n"/>
      <c r="Y554" s="20" t="n"/>
      <c r="Z554" s="20" t="n"/>
      <c r="AA554" s="20" t="n"/>
      <c r="AB554" s="20" t="n"/>
      <c r="AC554" s="21">
        <f>IF(W554="","",W554-K554)</f>
        <v/>
      </c>
      <c r="AD554" s="21">
        <f>IF(X554="","",X554-L554)</f>
        <v/>
      </c>
      <c r="AE554" s="21">
        <f>IF(Y554="","",Y554-M554)</f>
        <v/>
      </c>
      <c r="AF554" s="21">
        <f>IF(Z554="","",Z554-N554)</f>
        <v/>
      </c>
      <c r="AG554" s="21">
        <f>IF(AA554="","",AA554-O554)</f>
        <v/>
      </c>
      <c r="AH554" s="21">
        <f>IF(AB554="","",AB554-P554)</f>
        <v/>
      </c>
      <c r="AI554" s="18">
        <f>IF(COUNTA(W554:AB554)=0,"未入力",IF(COUNTA(W554:AB554)&lt;6,"一部入力",IF(COUNTIF(AC554:AH554,0)=6,"一致","差分あり")))</f>
        <v/>
      </c>
      <c r="AJ5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4" s="19" t="inlineStr"/>
      <c r="AL554" s="18" t="inlineStr">
        <is>
          <t>2026-06-29</t>
        </is>
      </c>
    </row>
    <row r="555" ht="22" customHeight="1">
      <c r="A555" s="17" t="inlineStr">
        <is>
          <t>1007204-LB0</t>
        </is>
      </c>
      <c r="B555" s="18" t="n">
        <v>1007204</v>
      </c>
      <c r="C555" s="17" t="inlineStr">
        <is>
          <t>KMaruyama04</t>
        </is>
      </c>
      <c r="D555" s="17" t="inlineStr">
        <is>
          <t>KMaruyama</t>
        </is>
      </c>
      <c r="E555" s="17" t="inlineStr">
        <is>
          <t>丸山 奏多</t>
        </is>
      </c>
      <c r="F555" s="19" t="inlineStr">
        <is>
          <t>木漏れ日の庭</t>
        </is>
      </c>
      <c r="G555" s="18" t="inlineStr">
        <is>
          <t>S</t>
        </is>
      </c>
      <c r="H555" s="17" t="inlineStr">
        <is>
          <t>Breaker</t>
        </is>
      </c>
      <c r="I555" s="18" t="n">
        <v>0</v>
      </c>
      <c r="J555" s="18" t="n">
        <v>10</v>
      </c>
      <c r="K555" s="18" t="n">
        <v>316</v>
      </c>
      <c r="L555" s="18" t="n">
        <v>324</v>
      </c>
      <c r="M555" s="18" t="n">
        <v>348</v>
      </c>
      <c r="N555" s="18" t="n">
        <v>350</v>
      </c>
      <c r="O555" s="18" t="n">
        <v>307</v>
      </c>
      <c r="P555" s="18" t="n">
        <v>306</v>
      </c>
      <c r="Q555" s="18" t="n">
        <v>32</v>
      </c>
      <c r="R555" s="18" t="n">
        <v>33</v>
      </c>
      <c r="S555" s="18" t="n">
        <v>35</v>
      </c>
      <c r="T555" s="18" t="n">
        <v>35</v>
      </c>
      <c r="U555" s="18" t="n">
        <v>31</v>
      </c>
      <c r="V555" s="18" t="n">
        <v>31</v>
      </c>
      <c r="W555" s="20" t="n"/>
      <c r="X555" s="20" t="n"/>
      <c r="Y555" s="20" t="n"/>
      <c r="Z555" s="20" t="n"/>
      <c r="AA555" s="20" t="n"/>
      <c r="AB555" s="20" t="n"/>
      <c r="AC555" s="21">
        <f>IF(W555="","",W555-K555)</f>
        <v/>
      </c>
      <c r="AD555" s="21">
        <f>IF(X555="","",X555-L555)</f>
        <v/>
      </c>
      <c r="AE555" s="21">
        <f>IF(Y555="","",Y555-M555)</f>
        <v/>
      </c>
      <c r="AF555" s="21">
        <f>IF(Z555="","",Z555-N555)</f>
        <v/>
      </c>
      <c r="AG555" s="21">
        <f>IF(AA555="","",AA555-O555)</f>
        <v/>
      </c>
      <c r="AH555" s="21">
        <f>IF(AB555="","",AB555-P555)</f>
        <v/>
      </c>
      <c r="AI555" s="18">
        <f>IF(COUNTA(W555:AB555)=0,"未入力",IF(COUNTA(W555:AB555)&lt;6,"一部入力",IF(COUNTIF(AC555:AH555,0)=6,"一致","差分あり")))</f>
        <v/>
      </c>
      <c r="AJ5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5" s="19" t="inlineStr"/>
      <c r="AL555" s="18" t="inlineStr">
        <is>
          <t>2026-06-29</t>
        </is>
      </c>
    </row>
    <row r="556" ht="22" customHeight="1">
      <c r="A556" s="17" t="inlineStr">
        <is>
          <t>1007204-LB10</t>
        </is>
      </c>
      <c r="B556" s="18" t="n">
        <v>1007204</v>
      </c>
      <c r="C556" s="17" t="inlineStr">
        <is>
          <t>KMaruyama04</t>
        </is>
      </c>
      <c r="D556" s="17" t="inlineStr">
        <is>
          <t>KMaruyama</t>
        </is>
      </c>
      <c r="E556" s="17" t="inlineStr">
        <is>
          <t>丸山 奏多</t>
        </is>
      </c>
      <c r="F556" s="19" t="inlineStr">
        <is>
          <t>木漏れ日の庭</t>
        </is>
      </c>
      <c r="G556" s="18" t="inlineStr">
        <is>
          <t>S</t>
        </is>
      </c>
      <c r="H556" s="17" t="inlineStr">
        <is>
          <t>Breaker</t>
        </is>
      </c>
      <c r="I556" s="18" t="n">
        <v>10</v>
      </c>
      <c r="J556" s="18" t="n">
        <v>10</v>
      </c>
      <c r="K556" s="18" t="n">
        <v>381</v>
      </c>
      <c r="L556" s="18" t="n">
        <v>391</v>
      </c>
      <c r="M556" s="18" t="n">
        <v>417</v>
      </c>
      <c r="N556" s="18" t="n">
        <v>416</v>
      </c>
      <c r="O556" s="18" t="n">
        <v>373</v>
      </c>
      <c r="P556" s="18" t="n">
        <v>372</v>
      </c>
      <c r="Q556" s="18" t="n">
        <v>39</v>
      </c>
      <c r="R556" s="18" t="n">
        <v>40</v>
      </c>
      <c r="S556" s="18" t="n">
        <v>42</v>
      </c>
      <c r="T556" s="18" t="n">
        <v>42</v>
      </c>
      <c r="U556" s="18" t="n">
        <v>38</v>
      </c>
      <c r="V556" s="18" t="n">
        <v>38</v>
      </c>
      <c r="W556" s="20" t="n"/>
      <c r="X556" s="20" t="n"/>
      <c r="Y556" s="20" t="n"/>
      <c r="Z556" s="20" t="n"/>
      <c r="AA556" s="20" t="n"/>
      <c r="AB556" s="20" t="n"/>
      <c r="AC556" s="21">
        <f>IF(W556="","",W556-K556)</f>
        <v/>
      </c>
      <c r="AD556" s="21">
        <f>IF(X556="","",X556-L556)</f>
        <v/>
      </c>
      <c r="AE556" s="21">
        <f>IF(Y556="","",Y556-M556)</f>
        <v/>
      </c>
      <c r="AF556" s="21">
        <f>IF(Z556="","",Z556-N556)</f>
        <v/>
      </c>
      <c r="AG556" s="21">
        <f>IF(AA556="","",AA556-O556)</f>
        <v/>
      </c>
      <c r="AH556" s="21">
        <f>IF(AB556="","",AB556-P556)</f>
        <v/>
      </c>
      <c r="AI556" s="18">
        <f>IF(COUNTA(W556:AB556)=0,"未入力",IF(COUNTA(W556:AB556)&lt;6,"一部入力",IF(COUNTIF(AC556:AH556,0)=6,"一致","差分あり")))</f>
        <v/>
      </c>
      <c r="AJ5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6" s="19" t="inlineStr"/>
      <c r="AL556" s="18" t="inlineStr">
        <is>
          <t>2026-06-29</t>
        </is>
      </c>
    </row>
    <row r="557" ht="22" customHeight="1">
      <c r="A557" s="17" t="inlineStr">
        <is>
          <t>1007205-LB0</t>
        </is>
      </c>
      <c r="B557" s="18" t="n">
        <v>1007205</v>
      </c>
      <c r="C557" s="17" t="inlineStr">
        <is>
          <t>KMaruyama05</t>
        </is>
      </c>
      <c r="D557" s="17" t="inlineStr">
        <is>
          <t>KMaruyama</t>
        </is>
      </c>
      <c r="E557" s="17" t="inlineStr">
        <is>
          <t>丸山 奏多</t>
        </is>
      </c>
      <c r="F557" s="19" t="inlineStr">
        <is>
          <t>スマイリー・ブルーム</t>
        </is>
      </c>
      <c r="G557" s="18" t="inlineStr">
        <is>
          <t>SS</t>
        </is>
      </c>
      <c r="H557" s="17" t="inlineStr">
        <is>
          <t>Blaster</t>
        </is>
      </c>
      <c r="I557" s="18" t="n">
        <v>0</v>
      </c>
      <c r="J557" s="18" t="n">
        <v>4</v>
      </c>
      <c r="K557" s="18" t="n">
        <v>432</v>
      </c>
      <c r="L557" s="18" t="n">
        <v>371</v>
      </c>
      <c r="M557" s="18" t="n">
        <v>387</v>
      </c>
      <c r="N557" s="18" t="n">
        <v>399</v>
      </c>
      <c r="O557" s="18" t="n">
        <v>400</v>
      </c>
      <c r="P557" s="18" t="n">
        <v>412</v>
      </c>
      <c r="Q557" s="18" t="n">
        <v>44</v>
      </c>
      <c r="R557" s="18" t="n">
        <v>38</v>
      </c>
      <c r="S557" s="18" t="n">
        <v>39</v>
      </c>
      <c r="T557" s="18" t="n">
        <v>40</v>
      </c>
      <c r="U557" s="18" t="n">
        <v>40</v>
      </c>
      <c r="V557" s="18" t="n">
        <v>42</v>
      </c>
      <c r="W557" s="20" t="n"/>
      <c r="X557" s="20" t="n"/>
      <c r="Y557" s="20" t="n"/>
      <c r="Z557" s="20" t="n"/>
      <c r="AA557" s="20" t="n"/>
      <c r="AB557" s="20" t="n"/>
      <c r="AC557" s="21">
        <f>IF(W557="","",W557-K557)</f>
        <v/>
      </c>
      <c r="AD557" s="21">
        <f>IF(X557="","",X557-L557)</f>
        <v/>
      </c>
      <c r="AE557" s="21">
        <f>IF(Y557="","",Y557-M557)</f>
        <v/>
      </c>
      <c r="AF557" s="21">
        <f>IF(Z557="","",Z557-N557)</f>
        <v/>
      </c>
      <c r="AG557" s="21">
        <f>IF(AA557="","",AA557-O557)</f>
        <v/>
      </c>
      <c r="AH557" s="21">
        <f>IF(AB557="","",AB557-P557)</f>
        <v/>
      </c>
      <c r="AI557" s="18">
        <f>IF(COUNTA(W557:AB557)=0,"未入力",IF(COUNTA(W557:AB557)&lt;6,"一部入力",IF(COUNTIF(AC557:AH557,0)=6,"一致","差分あり")))</f>
        <v/>
      </c>
      <c r="AJ5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7" s="19" t="inlineStr"/>
      <c r="AL557" s="18" t="inlineStr">
        <is>
          <t>2026-06-29</t>
        </is>
      </c>
    </row>
    <row r="558" ht="22" customHeight="1">
      <c r="A558" s="17" t="inlineStr">
        <is>
          <t>1007205-LB4</t>
        </is>
      </c>
      <c r="B558" s="18" t="n">
        <v>1007205</v>
      </c>
      <c r="C558" s="17" t="inlineStr">
        <is>
          <t>KMaruyama05</t>
        </is>
      </c>
      <c r="D558" s="17" t="inlineStr">
        <is>
          <t>KMaruyama</t>
        </is>
      </c>
      <c r="E558" s="17" t="inlineStr">
        <is>
          <t>丸山 奏多</t>
        </is>
      </c>
      <c r="F558" s="19" t="inlineStr">
        <is>
          <t>スマイリー・ブルーム</t>
        </is>
      </c>
      <c r="G558" s="18" t="inlineStr">
        <is>
          <t>SS</t>
        </is>
      </c>
      <c r="H558" s="17" t="inlineStr">
        <is>
          <t>Blaster</t>
        </is>
      </c>
      <c r="I558" s="18" t="n">
        <v>4</v>
      </c>
      <c r="J558" s="18" t="n">
        <v>4</v>
      </c>
      <c r="K558" s="18" t="n">
        <v>519</v>
      </c>
      <c r="L558" s="18" t="n">
        <v>461</v>
      </c>
      <c r="M558" s="18" t="n">
        <v>475</v>
      </c>
      <c r="N558" s="18" t="n">
        <v>486</v>
      </c>
      <c r="O558" s="18" t="n">
        <v>488</v>
      </c>
      <c r="P558" s="18" t="n">
        <v>499</v>
      </c>
      <c r="Q558" s="18" t="n">
        <v>52</v>
      </c>
      <c r="R558" s="18" t="n">
        <v>47</v>
      </c>
      <c r="S558" s="18" t="n">
        <v>48</v>
      </c>
      <c r="T558" s="18" t="n">
        <v>49</v>
      </c>
      <c r="U558" s="18" t="n">
        <v>49</v>
      </c>
      <c r="V558" s="18" t="n">
        <v>50</v>
      </c>
      <c r="W558" s="20" t="n"/>
      <c r="X558" s="20" t="n"/>
      <c r="Y558" s="20" t="n"/>
      <c r="Z558" s="20" t="n"/>
      <c r="AA558" s="20" t="n"/>
      <c r="AB558" s="20" t="n"/>
      <c r="AC558" s="21">
        <f>IF(W558="","",W558-K558)</f>
        <v/>
      </c>
      <c r="AD558" s="21">
        <f>IF(X558="","",X558-L558)</f>
        <v/>
      </c>
      <c r="AE558" s="21">
        <f>IF(Y558="","",Y558-M558)</f>
        <v/>
      </c>
      <c r="AF558" s="21">
        <f>IF(Z558="","",Z558-N558)</f>
        <v/>
      </c>
      <c r="AG558" s="21">
        <f>IF(AA558="","",AA558-O558)</f>
        <v/>
      </c>
      <c r="AH558" s="21">
        <f>IF(AB558="","",AB558-P558)</f>
        <v/>
      </c>
      <c r="AI558" s="18">
        <f>IF(COUNTA(W558:AB558)=0,"未入力",IF(COUNTA(W558:AB558)&lt;6,"一部入力",IF(COUNTIF(AC558:AH558,0)=6,"一致","差分あり")))</f>
        <v/>
      </c>
      <c r="AJ5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8" s="19" t="inlineStr"/>
      <c r="AL558" s="18" t="inlineStr">
        <is>
          <t>2026-06-29</t>
        </is>
      </c>
    </row>
    <row r="559" ht="22" customHeight="1">
      <c r="A559" s="17" t="inlineStr">
        <is>
          <t>1007206-LB0</t>
        </is>
      </c>
      <c r="B559" s="18" t="n">
        <v>1007206</v>
      </c>
      <c r="C559" s="17" t="inlineStr">
        <is>
          <t>KMaruyama06</t>
        </is>
      </c>
      <c r="D559" s="17" t="inlineStr">
        <is>
          <t>KMaruyama</t>
        </is>
      </c>
      <c r="E559" s="17" t="inlineStr">
        <is>
          <t>丸山 奏多</t>
        </is>
      </c>
      <c r="F559" s="19" t="inlineStr">
        <is>
          <t>チェックメイトは敗北の味</t>
        </is>
      </c>
      <c r="G559" s="18" t="inlineStr">
        <is>
          <t>S</t>
        </is>
      </c>
      <c r="H559" s="17" t="inlineStr">
        <is>
          <t>Breaker</t>
        </is>
      </c>
      <c r="I559" s="18" t="n">
        <v>0</v>
      </c>
      <c r="J559" s="18" t="n">
        <v>10</v>
      </c>
      <c r="K559" s="18" t="n">
        <v>305</v>
      </c>
      <c r="L559" s="18" t="n">
        <v>354</v>
      </c>
      <c r="M559" s="18" t="n">
        <v>318</v>
      </c>
      <c r="N559" s="18" t="n">
        <v>306</v>
      </c>
      <c r="O559" s="18" t="n">
        <v>351</v>
      </c>
      <c r="P559" s="18" t="n">
        <v>317</v>
      </c>
      <c r="Q559" s="18" t="n">
        <v>31</v>
      </c>
      <c r="R559" s="18" t="n">
        <v>36</v>
      </c>
      <c r="S559" s="18" t="n">
        <v>32</v>
      </c>
      <c r="T559" s="18" t="n">
        <v>31</v>
      </c>
      <c r="U559" s="18" t="n">
        <v>36</v>
      </c>
      <c r="V559" s="18" t="n">
        <v>32</v>
      </c>
      <c r="W559" s="20" t="n"/>
      <c r="X559" s="20" t="n"/>
      <c r="Y559" s="20" t="n"/>
      <c r="Z559" s="20" t="n"/>
      <c r="AA559" s="20" t="n"/>
      <c r="AB559" s="20" t="n"/>
      <c r="AC559" s="21">
        <f>IF(W559="","",W559-K559)</f>
        <v/>
      </c>
      <c r="AD559" s="21">
        <f>IF(X559="","",X559-L559)</f>
        <v/>
      </c>
      <c r="AE559" s="21">
        <f>IF(Y559="","",Y559-M559)</f>
        <v/>
      </c>
      <c r="AF559" s="21">
        <f>IF(Z559="","",Z559-N559)</f>
        <v/>
      </c>
      <c r="AG559" s="21">
        <f>IF(AA559="","",AA559-O559)</f>
        <v/>
      </c>
      <c r="AH559" s="21">
        <f>IF(AB559="","",AB559-P559)</f>
        <v/>
      </c>
      <c r="AI559" s="18">
        <f>IF(COUNTA(W559:AB559)=0,"未入力",IF(COUNTA(W559:AB559)&lt;6,"一部入力",IF(COUNTIF(AC559:AH559,0)=6,"一致","差分あり")))</f>
        <v/>
      </c>
      <c r="AJ5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59" s="19" t="inlineStr"/>
      <c r="AL559" s="18" t="inlineStr">
        <is>
          <t>2026-06-29</t>
        </is>
      </c>
    </row>
    <row r="560" ht="22" customHeight="1">
      <c r="A560" s="17" t="inlineStr">
        <is>
          <t>1007206-LB10</t>
        </is>
      </c>
      <c r="B560" s="18" t="n">
        <v>1007206</v>
      </c>
      <c r="C560" s="17" t="inlineStr">
        <is>
          <t>KMaruyama06</t>
        </is>
      </c>
      <c r="D560" s="17" t="inlineStr">
        <is>
          <t>KMaruyama</t>
        </is>
      </c>
      <c r="E560" s="17" t="inlineStr">
        <is>
          <t>丸山 奏多</t>
        </is>
      </c>
      <c r="F560" s="19" t="inlineStr">
        <is>
          <t>チェックメイトは敗北の味</t>
        </is>
      </c>
      <c r="G560" s="18" t="inlineStr">
        <is>
          <t>S</t>
        </is>
      </c>
      <c r="H560" s="17" t="inlineStr">
        <is>
          <t>Breaker</t>
        </is>
      </c>
      <c r="I560" s="18" t="n">
        <v>10</v>
      </c>
      <c r="J560" s="18" t="n">
        <v>10</v>
      </c>
      <c r="K560" s="18" t="n">
        <v>370</v>
      </c>
      <c r="L560" s="18" t="n">
        <v>425</v>
      </c>
      <c r="M560" s="18" t="n">
        <v>384</v>
      </c>
      <c r="N560" s="18" t="n">
        <v>372</v>
      </c>
      <c r="O560" s="18" t="n">
        <v>417</v>
      </c>
      <c r="P560" s="18" t="n">
        <v>383</v>
      </c>
      <c r="Q560" s="18" t="n">
        <v>37</v>
      </c>
      <c r="R560" s="18" t="n">
        <v>43</v>
      </c>
      <c r="S560" s="18" t="n">
        <v>39</v>
      </c>
      <c r="T560" s="18" t="n">
        <v>38</v>
      </c>
      <c r="U560" s="18" t="n">
        <v>42</v>
      </c>
      <c r="V560" s="18" t="n">
        <v>39</v>
      </c>
      <c r="W560" s="20" t="n"/>
      <c r="X560" s="20" t="n"/>
      <c r="Y560" s="20" t="n"/>
      <c r="Z560" s="20" t="n"/>
      <c r="AA560" s="20" t="n"/>
      <c r="AB560" s="20" t="n"/>
      <c r="AC560" s="21">
        <f>IF(W560="","",W560-K560)</f>
        <v/>
      </c>
      <c r="AD560" s="21">
        <f>IF(X560="","",X560-L560)</f>
        <v/>
      </c>
      <c r="AE560" s="21">
        <f>IF(Y560="","",Y560-M560)</f>
        <v/>
      </c>
      <c r="AF560" s="21">
        <f>IF(Z560="","",Z560-N560)</f>
        <v/>
      </c>
      <c r="AG560" s="21">
        <f>IF(AA560="","",AA560-O560)</f>
        <v/>
      </c>
      <c r="AH560" s="21">
        <f>IF(AB560="","",AB560-P560)</f>
        <v/>
      </c>
      <c r="AI560" s="18">
        <f>IF(COUNTA(W560:AB560)=0,"未入力",IF(COUNTA(W560:AB560)&lt;6,"一部入力",IF(COUNTIF(AC560:AH560,0)=6,"一致","差分あり")))</f>
        <v/>
      </c>
      <c r="AJ5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0" s="19" t="inlineStr"/>
      <c r="AL560" s="18" t="inlineStr">
        <is>
          <t>2026-06-29</t>
        </is>
      </c>
    </row>
    <row r="561" ht="22" customHeight="1">
      <c r="A561" s="17" t="inlineStr">
        <is>
          <t>1007207-LB0</t>
        </is>
      </c>
      <c r="B561" s="18" t="n">
        <v>1007207</v>
      </c>
      <c r="C561" s="17" t="inlineStr">
        <is>
          <t>KMaruyama07</t>
        </is>
      </c>
      <c r="D561" s="17" t="inlineStr">
        <is>
          <t>KMaruyama</t>
        </is>
      </c>
      <c r="E561" s="17" t="inlineStr">
        <is>
          <t>丸山 奏多</t>
        </is>
      </c>
      <c r="F561" s="19" t="inlineStr">
        <is>
          <t>決起のレガリア</t>
        </is>
      </c>
      <c r="G561" s="18" t="inlineStr">
        <is>
          <t>SSR</t>
        </is>
      </c>
      <c r="H561" s="17" t="inlineStr">
        <is>
          <t>Buffer</t>
        </is>
      </c>
      <c r="I561" s="18" t="n">
        <v>0</v>
      </c>
      <c r="J561" s="18" t="n">
        <v>4</v>
      </c>
      <c r="K561" s="18" t="n">
        <v>397</v>
      </c>
      <c r="L561" s="18" t="n">
        <v>407</v>
      </c>
      <c r="M561" s="18" t="n">
        <v>435</v>
      </c>
      <c r="N561" s="18" t="n">
        <v>412</v>
      </c>
      <c r="O561" s="18" t="n">
        <v>387</v>
      </c>
      <c r="P561" s="18" t="n">
        <v>364</v>
      </c>
      <c r="Q561" s="18" t="n">
        <v>40</v>
      </c>
      <c r="R561" s="18" t="n">
        <v>41</v>
      </c>
      <c r="S561" s="18" t="n">
        <v>44</v>
      </c>
      <c r="T561" s="18" t="n">
        <v>42</v>
      </c>
      <c r="U561" s="18" t="n">
        <v>39</v>
      </c>
      <c r="V561" s="18" t="n">
        <v>37</v>
      </c>
      <c r="W561" s="20" t="n"/>
      <c r="X561" s="20" t="n"/>
      <c r="Y561" s="20" t="n"/>
      <c r="Z561" s="20" t="n"/>
      <c r="AA561" s="20" t="n"/>
      <c r="AB561" s="20" t="n"/>
      <c r="AC561" s="21">
        <f>IF(W561="","",W561-K561)</f>
        <v/>
      </c>
      <c r="AD561" s="21">
        <f>IF(X561="","",X561-L561)</f>
        <v/>
      </c>
      <c r="AE561" s="21">
        <f>IF(Y561="","",Y561-M561)</f>
        <v/>
      </c>
      <c r="AF561" s="21">
        <f>IF(Z561="","",Z561-N561)</f>
        <v/>
      </c>
      <c r="AG561" s="21">
        <f>IF(AA561="","",AA561-O561)</f>
        <v/>
      </c>
      <c r="AH561" s="21">
        <f>IF(AB561="","",AB561-P561)</f>
        <v/>
      </c>
      <c r="AI561" s="18">
        <f>IF(COUNTA(W561:AB561)=0,"未入力",IF(COUNTA(W561:AB561)&lt;6,"一部入力",IF(COUNTIF(AC561:AH561,0)=6,"一致","差分あり")))</f>
        <v/>
      </c>
      <c r="AJ5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1" s="19" t="inlineStr"/>
      <c r="AL561" s="18" t="inlineStr">
        <is>
          <t>2026-06-29</t>
        </is>
      </c>
    </row>
    <row r="562" ht="22" customHeight="1">
      <c r="A562" s="17" t="inlineStr">
        <is>
          <t>1007207-LB4</t>
        </is>
      </c>
      <c r="B562" s="18" t="n">
        <v>1007207</v>
      </c>
      <c r="C562" s="17" t="inlineStr">
        <is>
          <t>KMaruyama07</t>
        </is>
      </c>
      <c r="D562" s="17" t="inlineStr">
        <is>
          <t>KMaruyama</t>
        </is>
      </c>
      <c r="E562" s="17" t="inlineStr">
        <is>
          <t>丸山 奏多</t>
        </is>
      </c>
      <c r="F562" s="19" t="inlineStr">
        <is>
          <t>決起のレガリア</t>
        </is>
      </c>
      <c r="G562" s="18" t="inlineStr">
        <is>
          <t>SSR</t>
        </is>
      </c>
      <c r="H562" s="17" t="inlineStr">
        <is>
          <t>Buffer</t>
        </is>
      </c>
      <c r="I562" s="18" t="n">
        <v>4</v>
      </c>
      <c r="J562" s="18" t="n">
        <v>4</v>
      </c>
      <c r="K562" s="18" t="n">
        <v>484</v>
      </c>
      <c r="L562" s="18" t="n">
        <v>497</v>
      </c>
      <c r="M562" s="18" t="n">
        <v>523</v>
      </c>
      <c r="N562" s="18" t="n">
        <v>499</v>
      </c>
      <c r="O562" s="18" t="n">
        <v>475</v>
      </c>
      <c r="P562" s="18" t="n">
        <v>452</v>
      </c>
      <c r="Q562" s="18" t="n">
        <v>49</v>
      </c>
      <c r="R562" s="18" t="n">
        <v>50</v>
      </c>
      <c r="S562" s="18" t="n">
        <v>53</v>
      </c>
      <c r="T562" s="18" t="n">
        <v>50</v>
      </c>
      <c r="U562" s="18" t="n">
        <v>48</v>
      </c>
      <c r="V562" s="18" t="n">
        <v>46</v>
      </c>
      <c r="W562" s="20" t="n"/>
      <c r="X562" s="20" t="n"/>
      <c r="Y562" s="20" t="n"/>
      <c r="Z562" s="20" t="n"/>
      <c r="AA562" s="20" t="n"/>
      <c r="AB562" s="20" t="n"/>
      <c r="AC562" s="21">
        <f>IF(W562="","",W562-K562)</f>
        <v/>
      </c>
      <c r="AD562" s="21">
        <f>IF(X562="","",X562-L562)</f>
        <v/>
      </c>
      <c r="AE562" s="21">
        <f>IF(Y562="","",Y562-M562)</f>
        <v/>
      </c>
      <c r="AF562" s="21">
        <f>IF(Z562="","",Z562-N562)</f>
        <v/>
      </c>
      <c r="AG562" s="21">
        <f>IF(AA562="","",AA562-O562)</f>
        <v/>
      </c>
      <c r="AH562" s="21">
        <f>IF(AB562="","",AB562-P562)</f>
        <v/>
      </c>
      <c r="AI562" s="18">
        <f>IF(COUNTA(W562:AB562)=0,"未入力",IF(COUNTA(W562:AB562)&lt;6,"一部入力",IF(COUNTIF(AC562:AH562,0)=6,"一致","差分あり")))</f>
        <v/>
      </c>
      <c r="AJ5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2" s="19" t="inlineStr"/>
      <c r="AL562" s="18" t="inlineStr">
        <is>
          <t>2026-06-29</t>
        </is>
      </c>
    </row>
    <row r="563" ht="22" customHeight="1">
      <c r="A563" s="17" t="inlineStr">
        <is>
          <t>1007301-LB0</t>
        </is>
      </c>
      <c r="B563" s="18" t="n">
        <v>1007301</v>
      </c>
      <c r="C563" s="17" t="inlineStr">
        <is>
          <t>SHanamura01</t>
        </is>
      </c>
      <c r="D563" s="17" t="inlineStr">
        <is>
          <t>SHanamura</t>
        </is>
      </c>
      <c r="E563" s="17" t="inlineStr">
        <is>
          <t>華村 詩紀</t>
        </is>
      </c>
      <c r="F563" s="19" t="inlineStr">
        <is>
          <t>アバンチュールコンダクター</t>
        </is>
      </c>
      <c r="G563" s="18" t="inlineStr">
        <is>
          <t>A</t>
        </is>
      </c>
      <c r="H563" s="17" t="inlineStr">
        <is>
          <t>Buffer</t>
        </is>
      </c>
      <c r="I563" s="18" t="n">
        <v>0</v>
      </c>
      <c r="J563" s="18" t="n">
        <v>20</v>
      </c>
      <c r="K563" s="18" t="n">
        <v>286</v>
      </c>
      <c r="L563" s="18" t="n">
        <v>243</v>
      </c>
      <c r="M563" s="18" t="n">
        <v>254</v>
      </c>
      <c r="N563" s="18" t="n">
        <v>279</v>
      </c>
      <c r="O563" s="18" t="n">
        <v>275</v>
      </c>
      <c r="P563" s="18" t="n">
        <v>286</v>
      </c>
      <c r="Q563" s="18" t="n">
        <v>29</v>
      </c>
      <c r="R563" s="18" t="n">
        <v>25</v>
      </c>
      <c r="S563" s="18" t="n">
        <v>26</v>
      </c>
      <c r="T563" s="18" t="n">
        <v>28</v>
      </c>
      <c r="U563" s="18" t="n">
        <v>28</v>
      </c>
      <c r="V563" s="18" t="n">
        <v>29</v>
      </c>
      <c r="W563" s="20" t="n"/>
      <c r="X563" s="20" t="n"/>
      <c r="Y563" s="20" t="n"/>
      <c r="Z563" s="20" t="n"/>
      <c r="AA563" s="20" t="n"/>
      <c r="AB563" s="20" t="n"/>
      <c r="AC563" s="21">
        <f>IF(W563="","",W563-K563)</f>
        <v/>
      </c>
      <c r="AD563" s="21">
        <f>IF(X563="","",X563-L563)</f>
        <v/>
      </c>
      <c r="AE563" s="21">
        <f>IF(Y563="","",Y563-M563)</f>
        <v/>
      </c>
      <c r="AF563" s="21">
        <f>IF(Z563="","",Z563-N563)</f>
        <v/>
      </c>
      <c r="AG563" s="21">
        <f>IF(AA563="","",AA563-O563)</f>
        <v/>
      </c>
      <c r="AH563" s="21">
        <f>IF(AB563="","",AB563-P563)</f>
        <v/>
      </c>
      <c r="AI563" s="18">
        <f>IF(COUNTA(W563:AB563)=0,"未入力",IF(COUNTA(W563:AB563)&lt;6,"一部入力",IF(COUNTIF(AC563:AH563,0)=6,"一致","差分あり")))</f>
        <v/>
      </c>
      <c r="AJ5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3" s="19" t="inlineStr"/>
      <c r="AL563" s="18" t="inlineStr">
        <is>
          <t>2026-06-29</t>
        </is>
      </c>
    </row>
    <row r="564" ht="22" customHeight="1">
      <c r="A564" s="17" t="inlineStr">
        <is>
          <t>1007301-LB20</t>
        </is>
      </c>
      <c r="B564" s="18" t="n">
        <v>1007301</v>
      </c>
      <c r="C564" s="17" t="inlineStr">
        <is>
          <t>SHanamura01</t>
        </is>
      </c>
      <c r="D564" s="17" t="inlineStr">
        <is>
          <t>SHanamura</t>
        </is>
      </c>
      <c r="E564" s="17" t="inlineStr">
        <is>
          <t>華村 詩紀</t>
        </is>
      </c>
      <c r="F564" s="19" t="inlineStr">
        <is>
          <t>アバンチュールコンダクター</t>
        </is>
      </c>
      <c r="G564" s="18" t="inlineStr">
        <is>
          <t>A</t>
        </is>
      </c>
      <c r="H564" s="17" t="inlineStr">
        <is>
          <t>Buffer</t>
        </is>
      </c>
      <c r="I564" s="18" t="n">
        <v>20</v>
      </c>
      <c r="J564" s="18" t="n">
        <v>20</v>
      </c>
      <c r="K564" s="18" t="n">
        <v>331</v>
      </c>
      <c r="L564" s="18" t="n">
        <v>286</v>
      </c>
      <c r="M564" s="18" t="n">
        <v>299</v>
      </c>
      <c r="N564" s="18" t="n">
        <v>323</v>
      </c>
      <c r="O564" s="18" t="n">
        <v>319</v>
      </c>
      <c r="P564" s="18" t="n">
        <v>329</v>
      </c>
      <c r="Q564" s="18" t="n">
        <v>34</v>
      </c>
      <c r="R564" s="18" t="n">
        <v>29</v>
      </c>
      <c r="S564" s="18" t="n">
        <v>30</v>
      </c>
      <c r="T564" s="18" t="n">
        <v>33</v>
      </c>
      <c r="U564" s="18" t="n">
        <v>32</v>
      </c>
      <c r="V564" s="18" t="n">
        <v>33</v>
      </c>
      <c r="W564" s="20" t="n"/>
      <c r="X564" s="20" t="n"/>
      <c r="Y564" s="20" t="n"/>
      <c r="Z564" s="20" t="n"/>
      <c r="AA564" s="20" t="n"/>
      <c r="AB564" s="20" t="n"/>
      <c r="AC564" s="21">
        <f>IF(W564="","",W564-K564)</f>
        <v/>
      </c>
      <c r="AD564" s="21">
        <f>IF(X564="","",X564-L564)</f>
        <v/>
      </c>
      <c r="AE564" s="21">
        <f>IF(Y564="","",Y564-M564)</f>
        <v/>
      </c>
      <c r="AF564" s="21">
        <f>IF(Z564="","",Z564-N564)</f>
        <v/>
      </c>
      <c r="AG564" s="21">
        <f>IF(AA564="","",AA564-O564)</f>
        <v/>
      </c>
      <c r="AH564" s="21">
        <f>IF(AB564="","",AB564-P564)</f>
        <v/>
      </c>
      <c r="AI564" s="18">
        <f>IF(COUNTA(W564:AB564)=0,"未入力",IF(COUNTA(W564:AB564)&lt;6,"一部入力",IF(COUNTIF(AC564:AH564,0)=6,"一致","差分あり")))</f>
        <v/>
      </c>
      <c r="AJ5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4" s="19" t="inlineStr"/>
      <c r="AL564" s="18" t="inlineStr">
        <is>
          <t>2026-06-29</t>
        </is>
      </c>
    </row>
    <row r="565" ht="22" customHeight="1">
      <c r="A565" s="17" t="inlineStr">
        <is>
          <t>1007302-LB0</t>
        </is>
      </c>
      <c r="B565" s="18" t="n">
        <v>1007302</v>
      </c>
      <c r="C565" s="17" t="inlineStr">
        <is>
          <t>SHanamura02</t>
        </is>
      </c>
      <c r="D565" s="17" t="inlineStr">
        <is>
          <t>SHanamura</t>
        </is>
      </c>
      <c r="E565" s="17" t="inlineStr">
        <is>
          <t>華村 詩紀</t>
        </is>
      </c>
      <c r="F565" s="19" t="inlineStr">
        <is>
          <t>木漏れ日のソナタ</t>
        </is>
      </c>
      <c r="G565" s="18" t="inlineStr">
        <is>
          <t>S</t>
        </is>
      </c>
      <c r="H565" s="17" t="inlineStr">
        <is>
          <t>Buffer</t>
        </is>
      </c>
      <c r="I565" s="18" t="n">
        <v>0</v>
      </c>
      <c r="J565" s="18" t="n">
        <v>10</v>
      </c>
      <c r="K565" s="18" t="n">
        <v>304</v>
      </c>
      <c r="L565" s="18" t="n">
        <v>342</v>
      </c>
      <c r="M565" s="18" t="n">
        <v>327</v>
      </c>
      <c r="N565" s="18" t="n">
        <v>306</v>
      </c>
      <c r="O565" s="18" t="n">
        <v>345</v>
      </c>
      <c r="P565" s="18" t="n">
        <v>313</v>
      </c>
      <c r="Q565" s="18" t="n">
        <v>31</v>
      </c>
      <c r="R565" s="18" t="n">
        <v>35</v>
      </c>
      <c r="S565" s="18" t="n">
        <v>33</v>
      </c>
      <c r="T565" s="18" t="n">
        <v>31</v>
      </c>
      <c r="U565" s="18" t="n">
        <v>35</v>
      </c>
      <c r="V565" s="18" t="n">
        <v>32</v>
      </c>
      <c r="W565" s="20" t="n"/>
      <c r="X565" s="20" t="n"/>
      <c r="Y565" s="20" t="n"/>
      <c r="Z565" s="20" t="n"/>
      <c r="AA565" s="20" t="n"/>
      <c r="AB565" s="20" t="n"/>
      <c r="AC565" s="21">
        <f>IF(W565="","",W565-K565)</f>
        <v/>
      </c>
      <c r="AD565" s="21">
        <f>IF(X565="","",X565-L565)</f>
        <v/>
      </c>
      <c r="AE565" s="21">
        <f>IF(Y565="","",Y565-M565)</f>
        <v/>
      </c>
      <c r="AF565" s="21">
        <f>IF(Z565="","",Z565-N565)</f>
        <v/>
      </c>
      <c r="AG565" s="21">
        <f>IF(AA565="","",AA565-O565)</f>
        <v/>
      </c>
      <c r="AH565" s="21">
        <f>IF(AB565="","",AB565-P565)</f>
        <v/>
      </c>
      <c r="AI565" s="18">
        <f>IF(COUNTA(W565:AB565)=0,"未入力",IF(COUNTA(W565:AB565)&lt;6,"一部入力",IF(COUNTIF(AC565:AH565,0)=6,"一致","差分あり")))</f>
        <v/>
      </c>
      <c r="AJ5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5" s="19" t="inlineStr"/>
      <c r="AL565" s="18" t="inlineStr">
        <is>
          <t>2026-06-29</t>
        </is>
      </c>
    </row>
    <row r="566" ht="22" customHeight="1">
      <c r="A566" s="17" t="inlineStr">
        <is>
          <t>1007302-LB10</t>
        </is>
      </c>
      <c r="B566" s="18" t="n">
        <v>1007302</v>
      </c>
      <c r="C566" s="17" t="inlineStr">
        <is>
          <t>SHanamura02</t>
        </is>
      </c>
      <c r="D566" s="17" t="inlineStr">
        <is>
          <t>SHanamura</t>
        </is>
      </c>
      <c r="E566" s="17" t="inlineStr">
        <is>
          <t>華村 詩紀</t>
        </is>
      </c>
      <c r="F566" s="19" t="inlineStr">
        <is>
          <t>木漏れ日のソナタ</t>
        </is>
      </c>
      <c r="G566" s="18" t="inlineStr">
        <is>
          <t>S</t>
        </is>
      </c>
      <c r="H566" s="17" t="inlineStr">
        <is>
          <t>Buffer</t>
        </is>
      </c>
      <c r="I566" s="18" t="n">
        <v>10</v>
      </c>
      <c r="J566" s="18" t="n">
        <v>10</v>
      </c>
      <c r="K566" s="18" t="n">
        <v>369</v>
      </c>
      <c r="L566" s="18" t="n">
        <v>410</v>
      </c>
      <c r="M566" s="18" t="n">
        <v>394</v>
      </c>
      <c r="N566" s="18" t="n">
        <v>372</v>
      </c>
      <c r="O566" s="18" t="n">
        <v>410</v>
      </c>
      <c r="P566" s="18" t="n">
        <v>378</v>
      </c>
      <c r="Q566" s="18" t="n">
        <v>37</v>
      </c>
      <c r="R566" s="18" t="n">
        <v>41</v>
      </c>
      <c r="S566" s="18" t="n">
        <v>40</v>
      </c>
      <c r="T566" s="18" t="n">
        <v>38</v>
      </c>
      <c r="U566" s="18" t="n">
        <v>41</v>
      </c>
      <c r="V566" s="18" t="n">
        <v>38</v>
      </c>
      <c r="W566" s="20" t="n"/>
      <c r="X566" s="20" t="n"/>
      <c r="Y566" s="20" t="n"/>
      <c r="Z566" s="20" t="n"/>
      <c r="AA566" s="20" t="n"/>
      <c r="AB566" s="20" t="n"/>
      <c r="AC566" s="21">
        <f>IF(W566="","",W566-K566)</f>
        <v/>
      </c>
      <c r="AD566" s="21">
        <f>IF(X566="","",X566-L566)</f>
        <v/>
      </c>
      <c r="AE566" s="21">
        <f>IF(Y566="","",Y566-M566)</f>
        <v/>
      </c>
      <c r="AF566" s="21">
        <f>IF(Z566="","",Z566-N566)</f>
        <v/>
      </c>
      <c r="AG566" s="21">
        <f>IF(AA566="","",AA566-O566)</f>
        <v/>
      </c>
      <c r="AH566" s="21">
        <f>IF(AB566="","",AB566-P566)</f>
        <v/>
      </c>
      <c r="AI566" s="18">
        <f>IF(COUNTA(W566:AB566)=0,"未入力",IF(COUNTA(W566:AB566)&lt;6,"一部入力",IF(COUNTIF(AC566:AH566,0)=6,"一致","差分あり")))</f>
        <v/>
      </c>
      <c r="AJ5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6" s="19" t="inlineStr"/>
      <c r="AL566" s="18" t="inlineStr">
        <is>
          <t>2026-06-29</t>
        </is>
      </c>
    </row>
    <row r="567" ht="22" customHeight="1">
      <c r="A567" s="17" t="inlineStr">
        <is>
          <t>1007303-LB0</t>
        </is>
      </c>
      <c r="B567" s="18" t="n">
        <v>1007303</v>
      </c>
      <c r="C567" s="17" t="inlineStr">
        <is>
          <t>SHanamura03</t>
        </is>
      </c>
      <c r="D567" s="17" t="inlineStr">
        <is>
          <t>SHanamura</t>
        </is>
      </c>
      <c r="E567" s="17" t="inlineStr">
        <is>
          <t>華村 詩紀</t>
        </is>
      </c>
      <c r="F567" s="19" t="inlineStr">
        <is>
          <t>君のUnisono</t>
        </is>
      </c>
      <c r="G567" s="18" t="inlineStr">
        <is>
          <t>SS</t>
        </is>
      </c>
      <c r="H567" s="17" t="inlineStr">
        <is>
          <t>Buffer</t>
        </is>
      </c>
      <c r="I567" s="18" t="n">
        <v>0</v>
      </c>
      <c r="J567" s="18" t="n">
        <v>4</v>
      </c>
      <c r="K567" s="18" t="n">
        <v>374</v>
      </c>
      <c r="L567" s="18" t="n">
        <v>372</v>
      </c>
      <c r="M567" s="18" t="n">
        <v>424</v>
      </c>
      <c r="N567" s="18" t="n">
        <v>390</v>
      </c>
      <c r="O567" s="18" t="n">
        <v>359</v>
      </c>
      <c r="P567" s="18" t="n">
        <v>338</v>
      </c>
      <c r="Q567" s="18" t="n">
        <v>38</v>
      </c>
      <c r="R567" s="18" t="n">
        <v>38</v>
      </c>
      <c r="S567" s="18" t="n">
        <v>43</v>
      </c>
      <c r="T567" s="18" t="n">
        <v>39</v>
      </c>
      <c r="U567" s="18" t="n">
        <v>36</v>
      </c>
      <c r="V567" s="18" t="n">
        <v>34</v>
      </c>
      <c r="W567" s="20" t="n"/>
      <c r="X567" s="20" t="n"/>
      <c r="Y567" s="20" t="n"/>
      <c r="Z567" s="20" t="n"/>
      <c r="AA567" s="20" t="n"/>
      <c r="AB567" s="20" t="n"/>
      <c r="AC567" s="21">
        <f>IF(W567="","",W567-K567)</f>
        <v/>
      </c>
      <c r="AD567" s="21">
        <f>IF(X567="","",X567-L567)</f>
        <v/>
      </c>
      <c r="AE567" s="21">
        <f>IF(Y567="","",Y567-M567)</f>
        <v/>
      </c>
      <c r="AF567" s="21">
        <f>IF(Z567="","",Z567-N567)</f>
        <v/>
      </c>
      <c r="AG567" s="21">
        <f>IF(AA567="","",AA567-O567)</f>
        <v/>
      </c>
      <c r="AH567" s="21">
        <f>IF(AB567="","",AB567-P567)</f>
        <v/>
      </c>
      <c r="AI567" s="18">
        <f>IF(COUNTA(W567:AB567)=0,"未入力",IF(COUNTA(W567:AB567)&lt;6,"一部入力",IF(COUNTIF(AC567:AH567,0)=6,"一致","差分あり")))</f>
        <v/>
      </c>
      <c r="AJ5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7" s="19" t="inlineStr"/>
      <c r="AL567" s="18" t="inlineStr">
        <is>
          <t>2026-06-29</t>
        </is>
      </c>
    </row>
    <row r="568" ht="22" customHeight="1">
      <c r="A568" s="17" t="inlineStr">
        <is>
          <t>1007303-LB4</t>
        </is>
      </c>
      <c r="B568" s="18" t="n">
        <v>1007303</v>
      </c>
      <c r="C568" s="17" t="inlineStr">
        <is>
          <t>SHanamura03</t>
        </is>
      </c>
      <c r="D568" s="17" t="inlineStr">
        <is>
          <t>SHanamura</t>
        </is>
      </c>
      <c r="E568" s="17" t="inlineStr">
        <is>
          <t>華村 詩紀</t>
        </is>
      </c>
      <c r="F568" s="19" t="inlineStr">
        <is>
          <t>君のUnisono</t>
        </is>
      </c>
      <c r="G568" s="18" t="inlineStr">
        <is>
          <t>SS</t>
        </is>
      </c>
      <c r="H568" s="17" t="inlineStr">
        <is>
          <t>Buffer</t>
        </is>
      </c>
      <c r="I568" s="18" t="n">
        <v>4</v>
      </c>
      <c r="J568" s="18" t="n">
        <v>4</v>
      </c>
      <c r="K568" s="18" t="n">
        <v>461</v>
      </c>
      <c r="L568" s="18" t="n">
        <v>459</v>
      </c>
      <c r="M568" s="18" t="n">
        <v>514</v>
      </c>
      <c r="N568" s="18" t="n">
        <v>477</v>
      </c>
      <c r="O568" s="18" t="n">
        <v>446</v>
      </c>
      <c r="P568" s="18" t="n">
        <v>424</v>
      </c>
      <c r="Q568" s="18" t="n">
        <v>47</v>
      </c>
      <c r="R568" s="18" t="n">
        <v>46</v>
      </c>
      <c r="S568" s="18" t="n">
        <v>52</v>
      </c>
      <c r="T568" s="18" t="n">
        <v>48</v>
      </c>
      <c r="U568" s="18" t="n">
        <v>45</v>
      </c>
      <c r="V568" s="18" t="n">
        <v>43</v>
      </c>
      <c r="W568" s="20" t="n"/>
      <c r="X568" s="20" t="n"/>
      <c r="Y568" s="20" t="n"/>
      <c r="Z568" s="20" t="n"/>
      <c r="AA568" s="20" t="n"/>
      <c r="AB568" s="20" t="n"/>
      <c r="AC568" s="21">
        <f>IF(W568="","",W568-K568)</f>
        <v/>
      </c>
      <c r="AD568" s="21">
        <f>IF(X568="","",X568-L568)</f>
        <v/>
      </c>
      <c r="AE568" s="21">
        <f>IF(Y568="","",Y568-M568)</f>
        <v/>
      </c>
      <c r="AF568" s="21">
        <f>IF(Z568="","",Z568-N568)</f>
        <v/>
      </c>
      <c r="AG568" s="21">
        <f>IF(AA568="","",AA568-O568)</f>
        <v/>
      </c>
      <c r="AH568" s="21">
        <f>IF(AB568="","",AB568-P568)</f>
        <v/>
      </c>
      <c r="AI568" s="18">
        <f>IF(COUNTA(W568:AB568)=0,"未入力",IF(COUNTA(W568:AB568)&lt;6,"一部入力",IF(COUNTIF(AC568:AH568,0)=6,"一致","差分あり")))</f>
        <v/>
      </c>
      <c r="AJ5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8" s="19" t="inlineStr"/>
      <c r="AL568" s="18" t="inlineStr">
        <is>
          <t>2026-06-29</t>
        </is>
      </c>
    </row>
    <row r="569" ht="22" customHeight="1">
      <c r="A569" s="17" t="inlineStr">
        <is>
          <t>1007304-LB0</t>
        </is>
      </c>
      <c r="B569" s="18" t="n">
        <v>1007304</v>
      </c>
      <c r="C569" s="17" t="inlineStr">
        <is>
          <t>SHanamura04</t>
        </is>
      </c>
      <c r="D569" s="17" t="inlineStr">
        <is>
          <t>SHanamura</t>
        </is>
      </c>
      <c r="E569" s="17" t="inlineStr">
        <is>
          <t>華村 詩紀</t>
        </is>
      </c>
      <c r="F569" s="19" t="inlineStr">
        <is>
          <t>再耀のカンタービレ</t>
        </is>
      </c>
      <c r="G569" s="18" t="inlineStr">
        <is>
          <t>SS</t>
        </is>
      </c>
      <c r="H569" s="17" t="inlineStr">
        <is>
          <t>Buffer</t>
        </is>
      </c>
      <c r="I569" s="18" t="n">
        <v>0</v>
      </c>
      <c r="J569" s="18" t="n">
        <v>4</v>
      </c>
      <c r="K569" s="18" t="n">
        <v>396</v>
      </c>
      <c r="L569" s="18" t="n">
        <v>394</v>
      </c>
      <c r="M569" s="18" t="n">
        <v>446</v>
      </c>
      <c r="N569" s="18" t="n">
        <v>412</v>
      </c>
      <c r="O569" s="18" t="n">
        <v>381</v>
      </c>
      <c r="P569" s="18" t="n">
        <v>359</v>
      </c>
      <c r="Q569" s="18" t="n">
        <v>40</v>
      </c>
      <c r="R569" s="18" t="n">
        <v>40</v>
      </c>
      <c r="S569" s="18" t="n">
        <v>45</v>
      </c>
      <c r="T569" s="18" t="n">
        <v>42</v>
      </c>
      <c r="U569" s="18" t="n">
        <v>39</v>
      </c>
      <c r="V569" s="18" t="n">
        <v>36</v>
      </c>
      <c r="W569" s="20" t="n"/>
      <c r="X569" s="20" t="n"/>
      <c r="Y569" s="20" t="n"/>
      <c r="Z569" s="20" t="n"/>
      <c r="AA569" s="20" t="n"/>
      <c r="AB569" s="20" t="n"/>
      <c r="AC569" s="21">
        <f>IF(W569="","",W569-K569)</f>
        <v/>
      </c>
      <c r="AD569" s="21">
        <f>IF(X569="","",X569-L569)</f>
        <v/>
      </c>
      <c r="AE569" s="21">
        <f>IF(Y569="","",Y569-M569)</f>
        <v/>
      </c>
      <c r="AF569" s="21">
        <f>IF(Z569="","",Z569-N569)</f>
        <v/>
      </c>
      <c r="AG569" s="21">
        <f>IF(AA569="","",AA569-O569)</f>
        <v/>
      </c>
      <c r="AH569" s="21">
        <f>IF(AB569="","",AB569-P569)</f>
        <v/>
      </c>
      <c r="AI569" s="18">
        <f>IF(COUNTA(W569:AB569)=0,"未入力",IF(COUNTA(W569:AB569)&lt;6,"一部入力",IF(COUNTIF(AC569:AH569,0)=6,"一致","差分あり")))</f>
        <v/>
      </c>
      <c r="AJ5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69" s="19" t="inlineStr"/>
      <c r="AL569" s="18" t="inlineStr">
        <is>
          <t>2026-06-29</t>
        </is>
      </c>
    </row>
    <row r="570" ht="22" customHeight="1">
      <c r="A570" s="17" t="inlineStr">
        <is>
          <t>1007304-LB4</t>
        </is>
      </c>
      <c r="B570" s="18" t="n">
        <v>1007304</v>
      </c>
      <c r="C570" s="17" t="inlineStr">
        <is>
          <t>SHanamura04</t>
        </is>
      </c>
      <c r="D570" s="17" t="inlineStr">
        <is>
          <t>SHanamura</t>
        </is>
      </c>
      <c r="E570" s="17" t="inlineStr">
        <is>
          <t>華村 詩紀</t>
        </is>
      </c>
      <c r="F570" s="19" t="inlineStr">
        <is>
          <t>再耀のカンタービレ</t>
        </is>
      </c>
      <c r="G570" s="18" t="inlineStr">
        <is>
          <t>SS</t>
        </is>
      </c>
      <c r="H570" s="17" t="inlineStr">
        <is>
          <t>Buffer</t>
        </is>
      </c>
      <c r="I570" s="18" t="n">
        <v>4</v>
      </c>
      <c r="J570" s="18" t="n">
        <v>4</v>
      </c>
      <c r="K570" s="18" t="n">
        <v>482</v>
      </c>
      <c r="L570" s="18" t="n">
        <v>480</v>
      </c>
      <c r="M570" s="18" t="n">
        <v>537</v>
      </c>
      <c r="N570" s="18" t="n">
        <v>499</v>
      </c>
      <c r="O570" s="18" t="n">
        <v>467</v>
      </c>
      <c r="P570" s="18" t="n">
        <v>446</v>
      </c>
      <c r="Q570" s="18" t="n">
        <v>49</v>
      </c>
      <c r="R570" s="18" t="n">
        <v>48</v>
      </c>
      <c r="S570" s="18" t="n">
        <v>54</v>
      </c>
      <c r="T570" s="18" t="n">
        <v>50</v>
      </c>
      <c r="U570" s="18" t="n">
        <v>47</v>
      </c>
      <c r="V570" s="18" t="n">
        <v>45</v>
      </c>
      <c r="W570" s="20" t="n"/>
      <c r="X570" s="20" t="n"/>
      <c r="Y570" s="20" t="n"/>
      <c r="Z570" s="20" t="n"/>
      <c r="AA570" s="20" t="n"/>
      <c r="AB570" s="20" t="n"/>
      <c r="AC570" s="21">
        <f>IF(W570="","",W570-K570)</f>
        <v/>
      </c>
      <c r="AD570" s="21">
        <f>IF(X570="","",X570-L570)</f>
        <v/>
      </c>
      <c r="AE570" s="21">
        <f>IF(Y570="","",Y570-M570)</f>
        <v/>
      </c>
      <c r="AF570" s="21">
        <f>IF(Z570="","",Z570-N570)</f>
        <v/>
      </c>
      <c r="AG570" s="21">
        <f>IF(AA570="","",AA570-O570)</f>
        <v/>
      </c>
      <c r="AH570" s="21">
        <f>IF(AB570="","",AB570-P570)</f>
        <v/>
      </c>
      <c r="AI570" s="18">
        <f>IF(COUNTA(W570:AB570)=0,"未入力",IF(COUNTA(W570:AB570)&lt;6,"一部入力",IF(COUNTIF(AC570:AH570,0)=6,"一致","差分あり")))</f>
        <v/>
      </c>
      <c r="AJ5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0" s="19" t="inlineStr"/>
      <c r="AL570" s="18" t="inlineStr">
        <is>
          <t>2026-06-29</t>
        </is>
      </c>
    </row>
    <row r="571" ht="22" customHeight="1">
      <c r="A571" s="17" t="inlineStr">
        <is>
          <t>1007305-LB0</t>
        </is>
      </c>
      <c r="B571" s="18" t="n">
        <v>1007305</v>
      </c>
      <c r="C571" s="17" t="inlineStr">
        <is>
          <t>SHanamura05</t>
        </is>
      </c>
      <c r="D571" s="17" t="inlineStr">
        <is>
          <t>SHanamura</t>
        </is>
      </c>
      <c r="E571" s="17" t="inlineStr">
        <is>
          <t>華村 詩紀</t>
        </is>
      </c>
      <c r="F571" s="19" t="inlineStr">
        <is>
          <t>早朝のスコアリーディング</t>
        </is>
      </c>
      <c r="G571" s="18" t="inlineStr">
        <is>
          <t>S</t>
        </is>
      </c>
      <c r="H571" s="17" t="inlineStr">
        <is>
          <t>Buffer</t>
        </is>
      </c>
      <c r="I571" s="18" t="n">
        <v>0</v>
      </c>
      <c r="J571" s="18" t="n">
        <v>10</v>
      </c>
      <c r="K571" s="18" t="n">
        <v>314</v>
      </c>
      <c r="L571" s="18" t="n">
        <v>313</v>
      </c>
      <c r="M571" s="18" t="n">
        <v>360</v>
      </c>
      <c r="N571" s="18" t="n">
        <v>350</v>
      </c>
      <c r="O571" s="18" t="n">
        <v>302</v>
      </c>
      <c r="P571" s="18" t="n">
        <v>302</v>
      </c>
      <c r="Q571" s="18" t="n">
        <v>32</v>
      </c>
      <c r="R571" s="18" t="n">
        <v>32</v>
      </c>
      <c r="S571" s="18" t="n">
        <v>36</v>
      </c>
      <c r="T571" s="18" t="n">
        <v>35</v>
      </c>
      <c r="U571" s="18" t="n">
        <v>31</v>
      </c>
      <c r="V571" s="18" t="n">
        <v>31</v>
      </c>
      <c r="W571" s="20" t="n"/>
      <c r="X571" s="20" t="n"/>
      <c r="Y571" s="20" t="n"/>
      <c r="Z571" s="20" t="n"/>
      <c r="AA571" s="20" t="n"/>
      <c r="AB571" s="20" t="n"/>
      <c r="AC571" s="21">
        <f>IF(W571="","",W571-K571)</f>
        <v/>
      </c>
      <c r="AD571" s="21">
        <f>IF(X571="","",X571-L571)</f>
        <v/>
      </c>
      <c r="AE571" s="21">
        <f>IF(Y571="","",Y571-M571)</f>
        <v/>
      </c>
      <c r="AF571" s="21">
        <f>IF(Z571="","",Z571-N571)</f>
        <v/>
      </c>
      <c r="AG571" s="21">
        <f>IF(AA571="","",AA571-O571)</f>
        <v/>
      </c>
      <c r="AH571" s="21">
        <f>IF(AB571="","",AB571-P571)</f>
        <v/>
      </c>
      <c r="AI571" s="18">
        <f>IF(COUNTA(W571:AB571)=0,"未入力",IF(COUNTA(W571:AB571)&lt;6,"一部入力",IF(COUNTIF(AC571:AH571,0)=6,"一致","差分あり")))</f>
        <v/>
      </c>
      <c r="AJ5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1" s="19" t="inlineStr"/>
      <c r="AL571" s="18" t="inlineStr">
        <is>
          <t>2026-06-29</t>
        </is>
      </c>
    </row>
    <row r="572" ht="22" customHeight="1">
      <c r="A572" s="17" t="inlineStr">
        <is>
          <t>1007305-LB10</t>
        </is>
      </c>
      <c r="B572" s="18" t="n">
        <v>1007305</v>
      </c>
      <c r="C572" s="17" t="inlineStr">
        <is>
          <t>SHanamura05</t>
        </is>
      </c>
      <c r="D572" s="17" t="inlineStr">
        <is>
          <t>SHanamura</t>
        </is>
      </c>
      <c r="E572" s="17" t="inlineStr">
        <is>
          <t>華村 詩紀</t>
        </is>
      </c>
      <c r="F572" s="19" t="inlineStr">
        <is>
          <t>早朝のスコアリーディング</t>
        </is>
      </c>
      <c r="G572" s="18" t="inlineStr">
        <is>
          <t>S</t>
        </is>
      </c>
      <c r="H572" s="17" t="inlineStr">
        <is>
          <t>Buffer</t>
        </is>
      </c>
      <c r="I572" s="18" t="n">
        <v>10</v>
      </c>
      <c r="J572" s="18" t="n">
        <v>10</v>
      </c>
      <c r="K572" s="18" t="n">
        <v>380</v>
      </c>
      <c r="L572" s="18" t="n">
        <v>378</v>
      </c>
      <c r="M572" s="18" t="n">
        <v>428</v>
      </c>
      <c r="N572" s="18" t="n">
        <v>416</v>
      </c>
      <c r="O572" s="18" t="n">
        <v>367</v>
      </c>
      <c r="P572" s="18" t="n">
        <v>367</v>
      </c>
      <c r="Q572" s="18" t="n">
        <v>38</v>
      </c>
      <c r="R572" s="18" t="n">
        <v>38</v>
      </c>
      <c r="S572" s="18" t="n">
        <v>43</v>
      </c>
      <c r="T572" s="18" t="n">
        <v>42</v>
      </c>
      <c r="U572" s="18" t="n">
        <v>37</v>
      </c>
      <c r="V572" s="18" t="n">
        <v>37</v>
      </c>
      <c r="W572" s="20" t="n"/>
      <c r="X572" s="20" t="n"/>
      <c r="Y572" s="20" t="n"/>
      <c r="Z572" s="20" t="n"/>
      <c r="AA572" s="20" t="n"/>
      <c r="AB572" s="20" t="n"/>
      <c r="AC572" s="21">
        <f>IF(W572="","",W572-K572)</f>
        <v/>
      </c>
      <c r="AD572" s="21">
        <f>IF(X572="","",X572-L572)</f>
        <v/>
      </c>
      <c r="AE572" s="21">
        <f>IF(Y572="","",Y572-M572)</f>
        <v/>
      </c>
      <c r="AF572" s="21">
        <f>IF(Z572="","",Z572-N572)</f>
        <v/>
      </c>
      <c r="AG572" s="21">
        <f>IF(AA572="","",AA572-O572)</f>
        <v/>
      </c>
      <c r="AH572" s="21">
        <f>IF(AB572="","",AB572-P572)</f>
        <v/>
      </c>
      <c r="AI572" s="18">
        <f>IF(COUNTA(W572:AB572)=0,"未入力",IF(COUNTA(W572:AB572)&lt;6,"一部入力",IF(COUNTIF(AC572:AH572,0)=6,"一致","差分あり")))</f>
        <v/>
      </c>
      <c r="AJ5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2" s="19" t="inlineStr"/>
      <c r="AL572" s="18" t="inlineStr">
        <is>
          <t>2026-06-29</t>
        </is>
      </c>
    </row>
    <row r="573" ht="22" customHeight="1">
      <c r="A573" s="17" t="inlineStr">
        <is>
          <t>1007401-LB0</t>
        </is>
      </c>
      <c r="B573" s="18" t="n">
        <v>1007401</v>
      </c>
      <c r="C573" s="17" t="inlineStr">
        <is>
          <t>CMatsuoka01</t>
        </is>
      </c>
      <c r="D573" s="17" t="inlineStr">
        <is>
          <t>CMatsuoka</t>
        </is>
      </c>
      <c r="E573" s="17" t="inlineStr">
        <is>
          <t>松岡 チロル</t>
        </is>
      </c>
      <c r="F573" s="19" t="inlineStr">
        <is>
          <t>天才かませ犬</t>
        </is>
      </c>
      <c r="G573" s="18" t="inlineStr">
        <is>
          <t>A</t>
        </is>
      </c>
      <c r="H573" s="17" t="inlineStr">
        <is>
          <t>Defender</t>
        </is>
      </c>
      <c r="I573" s="18" t="n">
        <v>0</v>
      </c>
      <c r="J573" s="18" t="n">
        <v>20</v>
      </c>
      <c r="K573" s="18" t="n">
        <v>252</v>
      </c>
      <c r="L573" s="18" t="n">
        <v>282</v>
      </c>
      <c r="M573" s="18" t="n">
        <v>272</v>
      </c>
      <c r="N573" s="18" t="n">
        <v>246</v>
      </c>
      <c r="O573" s="18" t="n">
        <v>284</v>
      </c>
      <c r="P573" s="18" t="n">
        <v>288</v>
      </c>
      <c r="Q573" s="18" t="n">
        <v>26</v>
      </c>
      <c r="R573" s="18" t="n">
        <v>29</v>
      </c>
      <c r="S573" s="18" t="n">
        <v>28</v>
      </c>
      <c r="T573" s="18" t="n">
        <v>25</v>
      </c>
      <c r="U573" s="18" t="n">
        <v>29</v>
      </c>
      <c r="V573" s="18" t="n">
        <v>29</v>
      </c>
      <c r="W573" s="20" t="n"/>
      <c r="X573" s="20" t="n"/>
      <c r="Y573" s="20" t="n"/>
      <c r="Z573" s="20" t="n"/>
      <c r="AA573" s="20" t="n"/>
      <c r="AB573" s="20" t="n"/>
      <c r="AC573" s="21">
        <f>IF(W573="","",W573-K573)</f>
        <v/>
      </c>
      <c r="AD573" s="21">
        <f>IF(X573="","",X573-L573)</f>
        <v/>
      </c>
      <c r="AE573" s="21">
        <f>IF(Y573="","",Y573-M573)</f>
        <v/>
      </c>
      <c r="AF573" s="21">
        <f>IF(Z573="","",Z573-N573)</f>
        <v/>
      </c>
      <c r="AG573" s="21">
        <f>IF(AA573="","",AA573-O573)</f>
        <v/>
      </c>
      <c r="AH573" s="21">
        <f>IF(AB573="","",AB573-P573)</f>
        <v/>
      </c>
      <c r="AI573" s="18">
        <f>IF(COUNTA(W573:AB573)=0,"未入力",IF(COUNTA(W573:AB573)&lt;6,"一部入力",IF(COUNTIF(AC573:AH573,0)=6,"一致","差分あり")))</f>
        <v/>
      </c>
      <c r="AJ5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3" s="19" t="inlineStr"/>
      <c r="AL573" s="18" t="inlineStr">
        <is>
          <t>2026-06-29</t>
        </is>
      </c>
    </row>
    <row r="574" ht="22" customHeight="1">
      <c r="A574" s="17" t="inlineStr">
        <is>
          <t>1007401-LB20</t>
        </is>
      </c>
      <c r="B574" s="18" t="n">
        <v>1007401</v>
      </c>
      <c r="C574" s="17" t="inlineStr">
        <is>
          <t>CMatsuoka01</t>
        </is>
      </c>
      <c r="D574" s="17" t="inlineStr">
        <is>
          <t>CMatsuoka</t>
        </is>
      </c>
      <c r="E574" s="17" t="inlineStr">
        <is>
          <t>松岡 チロル</t>
        </is>
      </c>
      <c r="F574" s="19" t="inlineStr">
        <is>
          <t>天才かませ犬</t>
        </is>
      </c>
      <c r="G574" s="18" t="inlineStr">
        <is>
          <t>A</t>
        </is>
      </c>
      <c r="H574" s="17" t="inlineStr">
        <is>
          <t>Defender</t>
        </is>
      </c>
      <c r="I574" s="18" t="n">
        <v>20</v>
      </c>
      <c r="J574" s="18" t="n">
        <v>20</v>
      </c>
      <c r="K574" s="18" t="n">
        <v>297</v>
      </c>
      <c r="L574" s="18" t="n">
        <v>326</v>
      </c>
      <c r="M574" s="18" t="n">
        <v>314</v>
      </c>
      <c r="N574" s="18" t="n">
        <v>290</v>
      </c>
      <c r="O574" s="18" t="n">
        <v>326</v>
      </c>
      <c r="P574" s="18" t="n">
        <v>333</v>
      </c>
      <c r="Q574" s="18" t="n">
        <v>30</v>
      </c>
      <c r="R574" s="18" t="n">
        <v>33</v>
      </c>
      <c r="S574" s="18" t="n">
        <v>32</v>
      </c>
      <c r="T574" s="18" t="n">
        <v>29</v>
      </c>
      <c r="U574" s="18" t="n">
        <v>33</v>
      </c>
      <c r="V574" s="18" t="n">
        <v>34</v>
      </c>
      <c r="W574" s="20" t="n"/>
      <c r="X574" s="20" t="n"/>
      <c r="Y574" s="20" t="n"/>
      <c r="Z574" s="20" t="n"/>
      <c r="AA574" s="20" t="n"/>
      <c r="AB574" s="20" t="n"/>
      <c r="AC574" s="21">
        <f>IF(W574="","",W574-K574)</f>
        <v/>
      </c>
      <c r="AD574" s="21">
        <f>IF(X574="","",X574-L574)</f>
        <v/>
      </c>
      <c r="AE574" s="21">
        <f>IF(Y574="","",Y574-M574)</f>
        <v/>
      </c>
      <c r="AF574" s="21">
        <f>IF(Z574="","",Z574-N574)</f>
        <v/>
      </c>
      <c r="AG574" s="21">
        <f>IF(AA574="","",AA574-O574)</f>
        <v/>
      </c>
      <c r="AH574" s="21">
        <f>IF(AB574="","",AB574-P574)</f>
        <v/>
      </c>
      <c r="AI574" s="18">
        <f>IF(COUNTA(W574:AB574)=0,"未入力",IF(COUNTA(W574:AB574)&lt;6,"一部入力",IF(COUNTIF(AC574:AH574,0)=6,"一致","差分あり")))</f>
        <v/>
      </c>
      <c r="AJ5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4" s="19" t="inlineStr"/>
      <c r="AL574" s="18" t="inlineStr">
        <is>
          <t>2026-06-29</t>
        </is>
      </c>
    </row>
    <row r="575" ht="22" customHeight="1">
      <c r="A575" s="17" t="inlineStr">
        <is>
          <t>1007402-LB0</t>
        </is>
      </c>
      <c r="B575" s="18" t="n">
        <v>1007402</v>
      </c>
      <c r="C575" s="17" t="inlineStr">
        <is>
          <t>CMatsuoka02</t>
        </is>
      </c>
      <c r="D575" s="17" t="inlineStr">
        <is>
          <t>CMatsuoka</t>
        </is>
      </c>
      <c r="E575" s="17" t="inlineStr">
        <is>
          <t>松岡 チロル</t>
        </is>
      </c>
      <c r="F575" s="19" t="inlineStr">
        <is>
          <t>秘めたる努力</t>
        </is>
      </c>
      <c r="G575" s="18" t="inlineStr">
        <is>
          <t>S</t>
        </is>
      </c>
      <c r="H575" s="17" t="inlineStr">
        <is>
          <t>Defender</t>
        </is>
      </c>
      <c r="I575" s="18" t="n">
        <v>0</v>
      </c>
      <c r="J575" s="18" t="n">
        <v>10</v>
      </c>
      <c r="K575" s="18" t="n">
        <v>324</v>
      </c>
      <c r="L575" s="18" t="n">
        <v>310</v>
      </c>
      <c r="M575" s="18" t="n">
        <v>341</v>
      </c>
      <c r="N575" s="18" t="n">
        <v>350</v>
      </c>
      <c r="O575" s="18" t="n">
        <v>300</v>
      </c>
      <c r="P575" s="18" t="n">
        <v>315</v>
      </c>
      <c r="Q575" s="18" t="n">
        <v>33</v>
      </c>
      <c r="R575" s="18" t="n">
        <v>31</v>
      </c>
      <c r="S575" s="18" t="n">
        <v>35</v>
      </c>
      <c r="T575" s="18" t="n">
        <v>35</v>
      </c>
      <c r="U575" s="18" t="n">
        <v>30</v>
      </c>
      <c r="V575" s="18" t="n">
        <v>32</v>
      </c>
      <c r="W575" s="20" t="n"/>
      <c r="X575" s="20" t="n"/>
      <c r="Y575" s="20" t="n"/>
      <c r="Z575" s="20" t="n"/>
      <c r="AA575" s="20" t="n"/>
      <c r="AB575" s="20" t="n"/>
      <c r="AC575" s="21">
        <f>IF(W575="","",W575-K575)</f>
        <v/>
      </c>
      <c r="AD575" s="21">
        <f>IF(X575="","",X575-L575)</f>
        <v/>
      </c>
      <c r="AE575" s="21">
        <f>IF(Y575="","",Y575-M575)</f>
        <v/>
      </c>
      <c r="AF575" s="21">
        <f>IF(Z575="","",Z575-N575)</f>
        <v/>
      </c>
      <c r="AG575" s="21">
        <f>IF(AA575="","",AA575-O575)</f>
        <v/>
      </c>
      <c r="AH575" s="21">
        <f>IF(AB575="","",AB575-P575)</f>
        <v/>
      </c>
      <c r="AI575" s="18">
        <f>IF(COUNTA(W575:AB575)=0,"未入力",IF(COUNTA(W575:AB575)&lt;6,"一部入力",IF(COUNTIF(AC575:AH575,0)=6,"一致","差分あり")))</f>
        <v/>
      </c>
      <c r="AJ5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5" s="19" t="inlineStr"/>
      <c r="AL575" s="18" t="inlineStr">
        <is>
          <t>2026-06-29</t>
        </is>
      </c>
    </row>
    <row r="576" ht="22" customHeight="1">
      <c r="A576" s="17" t="inlineStr">
        <is>
          <t>1007402-LB10</t>
        </is>
      </c>
      <c r="B576" s="18" t="n">
        <v>1007402</v>
      </c>
      <c r="C576" s="17" t="inlineStr">
        <is>
          <t>CMatsuoka02</t>
        </is>
      </c>
      <c r="D576" s="17" t="inlineStr">
        <is>
          <t>CMatsuoka</t>
        </is>
      </c>
      <c r="E576" s="17" t="inlineStr">
        <is>
          <t>松岡 チロル</t>
        </is>
      </c>
      <c r="F576" s="19" t="inlineStr">
        <is>
          <t>秘めたる努力</t>
        </is>
      </c>
      <c r="G576" s="18" t="inlineStr">
        <is>
          <t>S</t>
        </is>
      </c>
      <c r="H576" s="17" t="inlineStr">
        <is>
          <t>Defender</t>
        </is>
      </c>
      <c r="I576" s="18" t="n">
        <v>10</v>
      </c>
      <c r="J576" s="18" t="n">
        <v>10</v>
      </c>
      <c r="K576" s="18" t="n">
        <v>391</v>
      </c>
      <c r="L576" s="18" t="n">
        <v>375</v>
      </c>
      <c r="M576" s="18" t="n">
        <v>405</v>
      </c>
      <c r="N576" s="18" t="n">
        <v>416</v>
      </c>
      <c r="O576" s="18" t="n">
        <v>364</v>
      </c>
      <c r="P576" s="18" t="n">
        <v>383</v>
      </c>
      <c r="Q576" s="18" t="n">
        <v>40</v>
      </c>
      <c r="R576" s="18" t="n">
        <v>38</v>
      </c>
      <c r="S576" s="18" t="n">
        <v>41</v>
      </c>
      <c r="T576" s="18" t="n">
        <v>42</v>
      </c>
      <c r="U576" s="18" t="n">
        <v>37</v>
      </c>
      <c r="V576" s="18" t="n">
        <v>39</v>
      </c>
      <c r="W576" s="20" t="n"/>
      <c r="X576" s="20" t="n"/>
      <c r="Y576" s="20" t="n"/>
      <c r="Z576" s="20" t="n"/>
      <c r="AA576" s="20" t="n"/>
      <c r="AB576" s="20" t="n"/>
      <c r="AC576" s="21">
        <f>IF(W576="","",W576-K576)</f>
        <v/>
      </c>
      <c r="AD576" s="21">
        <f>IF(X576="","",X576-L576)</f>
        <v/>
      </c>
      <c r="AE576" s="21">
        <f>IF(Y576="","",Y576-M576)</f>
        <v/>
      </c>
      <c r="AF576" s="21">
        <f>IF(Z576="","",Z576-N576)</f>
        <v/>
      </c>
      <c r="AG576" s="21">
        <f>IF(AA576="","",AA576-O576)</f>
        <v/>
      </c>
      <c r="AH576" s="21">
        <f>IF(AB576="","",AB576-P576)</f>
        <v/>
      </c>
      <c r="AI576" s="18">
        <f>IF(COUNTA(W576:AB576)=0,"未入力",IF(COUNTA(W576:AB576)&lt;6,"一部入力",IF(COUNTIF(AC576:AH576,0)=6,"一致","差分あり")))</f>
        <v/>
      </c>
      <c r="AJ5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6" s="19" t="inlineStr"/>
      <c r="AL576" s="18" t="inlineStr">
        <is>
          <t>2026-06-29</t>
        </is>
      </c>
    </row>
    <row r="577" ht="22" customHeight="1">
      <c r="A577" s="17" t="inlineStr">
        <is>
          <t>1007403-LB0</t>
        </is>
      </c>
      <c r="B577" s="18" t="n">
        <v>1007403</v>
      </c>
      <c r="C577" s="17" t="inlineStr">
        <is>
          <t>CMatsuoka03</t>
        </is>
      </c>
      <c r="D577" s="17" t="inlineStr">
        <is>
          <t>CMatsuoka</t>
        </is>
      </c>
      <c r="E577" s="17" t="inlineStr">
        <is>
          <t>松岡 チロル</t>
        </is>
      </c>
      <c r="F577" s="19" t="inlineStr">
        <is>
          <t>疾風迅速滅亡の狼煙</t>
        </is>
      </c>
      <c r="G577" s="18" t="inlineStr">
        <is>
          <t>SS</t>
        </is>
      </c>
      <c r="H577" s="17" t="inlineStr">
        <is>
          <t>Defender</t>
        </is>
      </c>
      <c r="I577" s="18" t="n">
        <v>0</v>
      </c>
      <c r="J577" s="18" t="n">
        <v>4</v>
      </c>
      <c r="K577" s="18" t="n">
        <v>420</v>
      </c>
      <c r="L577" s="18" t="n">
        <v>335</v>
      </c>
      <c r="M577" s="18" t="n">
        <v>355</v>
      </c>
      <c r="N577" s="18" t="n">
        <v>377</v>
      </c>
      <c r="O577" s="18" t="n">
        <v>369</v>
      </c>
      <c r="P577" s="18" t="n">
        <v>401</v>
      </c>
      <c r="Q577" s="18" t="n">
        <v>42</v>
      </c>
      <c r="R577" s="18" t="n">
        <v>34</v>
      </c>
      <c r="S577" s="18" t="n">
        <v>36</v>
      </c>
      <c r="T577" s="18" t="n">
        <v>38</v>
      </c>
      <c r="U577" s="18" t="n">
        <v>37</v>
      </c>
      <c r="V577" s="18" t="n">
        <v>41</v>
      </c>
      <c r="W577" s="20" t="n"/>
      <c r="X577" s="20" t="n"/>
      <c r="Y577" s="20" t="n"/>
      <c r="Z577" s="20" t="n"/>
      <c r="AA577" s="20" t="n"/>
      <c r="AB577" s="20" t="n"/>
      <c r="AC577" s="21">
        <f>IF(W577="","",W577-K577)</f>
        <v/>
      </c>
      <c r="AD577" s="21">
        <f>IF(X577="","",X577-L577)</f>
        <v/>
      </c>
      <c r="AE577" s="21">
        <f>IF(Y577="","",Y577-M577)</f>
        <v/>
      </c>
      <c r="AF577" s="21">
        <f>IF(Z577="","",Z577-N577)</f>
        <v/>
      </c>
      <c r="AG577" s="21">
        <f>IF(AA577="","",AA577-O577)</f>
        <v/>
      </c>
      <c r="AH577" s="21">
        <f>IF(AB577="","",AB577-P577)</f>
        <v/>
      </c>
      <c r="AI577" s="18">
        <f>IF(COUNTA(W577:AB577)=0,"未入力",IF(COUNTA(W577:AB577)&lt;6,"一部入力",IF(COUNTIF(AC577:AH577,0)=6,"一致","差分あり")))</f>
        <v/>
      </c>
      <c r="AJ5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7" s="19" t="inlineStr"/>
      <c r="AL577" s="18" t="inlineStr">
        <is>
          <t>2026-06-29</t>
        </is>
      </c>
    </row>
    <row r="578" ht="22" customHeight="1">
      <c r="A578" s="17" t="inlineStr">
        <is>
          <t>1007403-LB4</t>
        </is>
      </c>
      <c r="B578" s="18" t="n">
        <v>1007403</v>
      </c>
      <c r="C578" s="17" t="inlineStr">
        <is>
          <t>CMatsuoka03</t>
        </is>
      </c>
      <c r="D578" s="17" t="inlineStr">
        <is>
          <t>CMatsuoka</t>
        </is>
      </c>
      <c r="E578" s="17" t="inlineStr">
        <is>
          <t>松岡 チロル</t>
        </is>
      </c>
      <c r="F578" s="19" t="inlineStr">
        <is>
          <t>疾風迅速滅亡の狼煙</t>
        </is>
      </c>
      <c r="G578" s="18" t="inlineStr">
        <is>
          <t>SS</t>
        </is>
      </c>
      <c r="H578" s="17" t="inlineStr">
        <is>
          <t>Defender</t>
        </is>
      </c>
      <c r="I578" s="18" t="n">
        <v>4</v>
      </c>
      <c r="J578" s="18" t="n">
        <v>4</v>
      </c>
      <c r="K578" s="18" t="n">
        <v>510</v>
      </c>
      <c r="L578" s="18" t="n">
        <v>421</v>
      </c>
      <c r="M578" s="18" t="n">
        <v>440</v>
      </c>
      <c r="N578" s="18" t="n">
        <v>465</v>
      </c>
      <c r="O578" s="18" t="n">
        <v>455</v>
      </c>
      <c r="P578" s="18" t="n">
        <v>491</v>
      </c>
      <c r="Q578" s="18" t="n">
        <v>51</v>
      </c>
      <c r="R578" s="18" t="n">
        <v>43</v>
      </c>
      <c r="S578" s="18" t="n">
        <v>44</v>
      </c>
      <c r="T578" s="18" t="n">
        <v>47</v>
      </c>
      <c r="U578" s="18" t="n">
        <v>46</v>
      </c>
      <c r="V578" s="18" t="n">
        <v>50</v>
      </c>
      <c r="W578" s="20" t="n"/>
      <c r="X578" s="20" t="n"/>
      <c r="Y578" s="20" t="n"/>
      <c r="Z578" s="20" t="n"/>
      <c r="AA578" s="20" t="n"/>
      <c r="AB578" s="20" t="n"/>
      <c r="AC578" s="21">
        <f>IF(W578="","",W578-K578)</f>
        <v/>
      </c>
      <c r="AD578" s="21">
        <f>IF(X578="","",X578-L578)</f>
        <v/>
      </c>
      <c r="AE578" s="21">
        <f>IF(Y578="","",Y578-M578)</f>
        <v/>
      </c>
      <c r="AF578" s="21">
        <f>IF(Z578="","",Z578-N578)</f>
        <v/>
      </c>
      <c r="AG578" s="21">
        <f>IF(AA578="","",AA578-O578)</f>
        <v/>
      </c>
      <c r="AH578" s="21">
        <f>IF(AB578="","",AB578-P578)</f>
        <v/>
      </c>
      <c r="AI578" s="18">
        <f>IF(COUNTA(W578:AB578)=0,"未入力",IF(COUNTA(W578:AB578)&lt;6,"一部入力",IF(COUNTIF(AC578:AH578,0)=6,"一致","差分あり")))</f>
        <v/>
      </c>
      <c r="AJ5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8" s="19" t="inlineStr"/>
      <c r="AL578" s="18" t="inlineStr">
        <is>
          <t>2026-06-29</t>
        </is>
      </c>
    </row>
    <row r="579" ht="22" customHeight="1">
      <c r="A579" s="17" t="inlineStr">
        <is>
          <t>1007404-LB0</t>
        </is>
      </c>
      <c r="B579" s="18" t="n">
        <v>1007404</v>
      </c>
      <c r="C579" s="17" t="inlineStr">
        <is>
          <t>CMatsuoka04</t>
        </is>
      </c>
      <c r="D579" s="17" t="inlineStr">
        <is>
          <t>CMatsuoka</t>
        </is>
      </c>
      <c r="E579" s="17" t="inlineStr">
        <is>
          <t>松岡 チロル</t>
        </is>
      </c>
      <c r="F579" s="19" t="inlineStr">
        <is>
          <t>内緒のコーヒーブレイク</t>
        </is>
      </c>
      <c r="G579" s="18" t="inlineStr">
        <is>
          <t>SS</t>
        </is>
      </c>
      <c r="H579" s="17" t="inlineStr">
        <is>
          <t>Defender</t>
        </is>
      </c>
      <c r="I579" s="18" t="n">
        <v>0</v>
      </c>
      <c r="J579" s="18" t="n">
        <v>4</v>
      </c>
      <c r="K579" s="18" t="n">
        <v>443</v>
      </c>
      <c r="L579" s="18" t="n">
        <v>356</v>
      </c>
      <c r="M579" s="18" t="n">
        <v>376</v>
      </c>
      <c r="N579" s="18" t="n">
        <v>399</v>
      </c>
      <c r="O579" s="18" t="n">
        <v>391</v>
      </c>
      <c r="P579" s="18" t="n">
        <v>424</v>
      </c>
      <c r="Q579" s="18" t="n">
        <v>45</v>
      </c>
      <c r="R579" s="18" t="n">
        <v>36</v>
      </c>
      <c r="S579" s="18" t="n">
        <v>38</v>
      </c>
      <c r="T579" s="18" t="n">
        <v>40</v>
      </c>
      <c r="U579" s="18" t="n">
        <v>40</v>
      </c>
      <c r="V579" s="18" t="n">
        <v>43</v>
      </c>
      <c r="W579" s="20" t="n"/>
      <c r="X579" s="20" t="n"/>
      <c r="Y579" s="20" t="n"/>
      <c r="Z579" s="20" t="n"/>
      <c r="AA579" s="20" t="n"/>
      <c r="AB579" s="20" t="n"/>
      <c r="AC579" s="21">
        <f>IF(W579="","",W579-K579)</f>
        <v/>
      </c>
      <c r="AD579" s="21">
        <f>IF(X579="","",X579-L579)</f>
        <v/>
      </c>
      <c r="AE579" s="21">
        <f>IF(Y579="","",Y579-M579)</f>
        <v/>
      </c>
      <c r="AF579" s="21">
        <f>IF(Z579="","",Z579-N579)</f>
        <v/>
      </c>
      <c r="AG579" s="21">
        <f>IF(AA579="","",AA579-O579)</f>
        <v/>
      </c>
      <c r="AH579" s="21">
        <f>IF(AB579="","",AB579-P579)</f>
        <v/>
      </c>
      <c r="AI579" s="18">
        <f>IF(COUNTA(W579:AB579)=0,"未入力",IF(COUNTA(W579:AB579)&lt;6,"一部入力",IF(COUNTIF(AC579:AH579,0)=6,"一致","差分あり")))</f>
        <v/>
      </c>
      <c r="AJ5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79" s="19" t="inlineStr"/>
      <c r="AL579" s="18" t="inlineStr">
        <is>
          <t>2026-06-29</t>
        </is>
      </c>
    </row>
    <row r="580" ht="22" customHeight="1">
      <c r="A580" s="17" t="inlineStr">
        <is>
          <t>1007404-LB4</t>
        </is>
      </c>
      <c r="B580" s="18" t="n">
        <v>1007404</v>
      </c>
      <c r="C580" s="17" t="inlineStr">
        <is>
          <t>CMatsuoka04</t>
        </is>
      </c>
      <c r="D580" s="17" t="inlineStr">
        <is>
          <t>CMatsuoka</t>
        </is>
      </c>
      <c r="E580" s="17" t="inlineStr">
        <is>
          <t>松岡 チロル</t>
        </is>
      </c>
      <c r="F580" s="19" t="inlineStr">
        <is>
          <t>内緒のコーヒーブレイク</t>
        </is>
      </c>
      <c r="G580" s="18" t="inlineStr">
        <is>
          <t>SS</t>
        </is>
      </c>
      <c r="H580" s="17" t="inlineStr">
        <is>
          <t>Defender</t>
        </is>
      </c>
      <c r="I580" s="18" t="n">
        <v>4</v>
      </c>
      <c r="J580" s="18" t="n">
        <v>4</v>
      </c>
      <c r="K580" s="18" t="n">
        <v>532</v>
      </c>
      <c r="L580" s="18" t="n">
        <v>442</v>
      </c>
      <c r="M580" s="18" t="n">
        <v>461</v>
      </c>
      <c r="N580" s="18" t="n">
        <v>486</v>
      </c>
      <c r="O580" s="18" t="n">
        <v>476</v>
      </c>
      <c r="P580" s="18" t="n">
        <v>514</v>
      </c>
      <c r="Q580" s="18" t="n">
        <v>54</v>
      </c>
      <c r="R580" s="18" t="n">
        <v>45</v>
      </c>
      <c r="S580" s="18" t="n">
        <v>47</v>
      </c>
      <c r="T580" s="18" t="n">
        <v>49</v>
      </c>
      <c r="U580" s="18" t="n">
        <v>48</v>
      </c>
      <c r="V580" s="18" t="n">
        <v>52</v>
      </c>
      <c r="W580" s="20" t="n"/>
      <c r="X580" s="20" t="n"/>
      <c r="Y580" s="20" t="n"/>
      <c r="Z580" s="20" t="n"/>
      <c r="AA580" s="20" t="n"/>
      <c r="AB580" s="20" t="n"/>
      <c r="AC580" s="21">
        <f>IF(W580="","",W580-K580)</f>
        <v/>
      </c>
      <c r="AD580" s="21">
        <f>IF(X580="","",X580-L580)</f>
        <v/>
      </c>
      <c r="AE580" s="21">
        <f>IF(Y580="","",Y580-M580)</f>
        <v/>
      </c>
      <c r="AF580" s="21">
        <f>IF(Z580="","",Z580-N580)</f>
        <v/>
      </c>
      <c r="AG580" s="21">
        <f>IF(AA580="","",AA580-O580)</f>
        <v/>
      </c>
      <c r="AH580" s="21">
        <f>IF(AB580="","",AB580-P580)</f>
        <v/>
      </c>
      <c r="AI580" s="18">
        <f>IF(COUNTA(W580:AB580)=0,"未入力",IF(COUNTA(W580:AB580)&lt;6,"一部入力",IF(COUNTIF(AC580:AH580,0)=6,"一致","差分あり")))</f>
        <v/>
      </c>
      <c r="AJ5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0" s="19" t="inlineStr"/>
      <c r="AL580" s="18" t="inlineStr">
        <is>
          <t>2026-06-29</t>
        </is>
      </c>
    </row>
    <row r="581" ht="22" customHeight="1">
      <c r="A581" s="17" t="inlineStr">
        <is>
          <t>1007405-LB0</t>
        </is>
      </c>
      <c r="B581" s="18" t="n">
        <v>1007405</v>
      </c>
      <c r="C581" s="17" t="inlineStr">
        <is>
          <t>CMatsuoka05</t>
        </is>
      </c>
      <c r="D581" s="17" t="inlineStr">
        <is>
          <t>CMatsuoka</t>
        </is>
      </c>
      <c r="E581" s="17" t="inlineStr">
        <is>
          <t>松岡 チロル</t>
        </is>
      </c>
      <c r="F581" s="19" t="inlineStr">
        <is>
          <t>悪を討つヒロイックアクション</t>
        </is>
      </c>
      <c r="G581" s="18" t="inlineStr">
        <is>
          <t>SS</t>
        </is>
      </c>
      <c r="H581" s="17" t="inlineStr">
        <is>
          <t>Defender</t>
        </is>
      </c>
      <c r="I581" s="18" t="n">
        <v>0</v>
      </c>
      <c r="J581" s="18" t="n">
        <v>4</v>
      </c>
      <c r="K581" s="18" t="n">
        <v>443</v>
      </c>
      <c r="L581" s="18" t="n">
        <v>356</v>
      </c>
      <c r="M581" s="18" t="n">
        <v>376</v>
      </c>
      <c r="N581" s="18" t="n">
        <v>399</v>
      </c>
      <c r="O581" s="18" t="n">
        <v>391</v>
      </c>
      <c r="P581" s="18" t="n">
        <v>424</v>
      </c>
      <c r="Q581" s="18" t="n">
        <v>45</v>
      </c>
      <c r="R581" s="18" t="n">
        <v>36</v>
      </c>
      <c r="S581" s="18" t="n">
        <v>38</v>
      </c>
      <c r="T581" s="18" t="n">
        <v>40</v>
      </c>
      <c r="U581" s="18" t="n">
        <v>40</v>
      </c>
      <c r="V581" s="18" t="n">
        <v>43</v>
      </c>
      <c r="W581" s="20" t="n"/>
      <c r="X581" s="20" t="n"/>
      <c r="Y581" s="20" t="n"/>
      <c r="Z581" s="20" t="n"/>
      <c r="AA581" s="20" t="n"/>
      <c r="AB581" s="20" t="n"/>
      <c r="AC581" s="21">
        <f>IF(W581="","",W581-K581)</f>
        <v/>
      </c>
      <c r="AD581" s="21">
        <f>IF(X581="","",X581-L581)</f>
        <v/>
      </c>
      <c r="AE581" s="21">
        <f>IF(Y581="","",Y581-M581)</f>
        <v/>
      </c>
      <c r="AF581" s="21">
        <f>IF(Z581="","",Z581-N581)</f>
        <v/>
      </c>
      <c r="AG581" s="21">
        <f>IF(AA581="","",AA581-O581)</f>
        <v/>
      </c>
      <c r="AH581" s="21">
        <f>IF(AB581="","",AB581-P581)</f>
        <v/>
      </c>
      <c r="AI581" s="18">
        <f>IF(COUNTA(W581:AB581)=0,"未入力",IF(COUNTA(W581:AB581)&lt;6,"一部入力",IF(COUNTIF(AC581:AH581,0)=6,"一致","差分あり")))</f>
        <v/>
      </c>
      <c r="AJ5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1" s="19" t="inlineStr"/>
      <c r="AL581" s="18" t="inlineStr">
        <is>
          <t>2026-06-29</t>
        </is>
      </c>
    </row>
    <row r="582" ht="22" customHeight="1">
      <c r="A582" s="17" t="inlineStr">
        <is>
          <t>1007405-LB4</t>
        </is>
      </c>
      <c r="B582" s="18" t="n">
        <v>1007405</v>
      </c>
      <c r="C582" s="17" t="inlineStr">
        <is>
          <t>CMatsuoka05</t>
        </is>
      </c>
      <c r="D582" s="17" t="inlineStr">
        <is>
          <t>CMatsuoka</t>
        </is>
      </c>
      <c r="E582" s="17" t="inlineStr">
        <is>
          <t>松岡 チロル</t>
        </is>
      </c>
      <c r="F582" s="19" t="inlineStr">
        <is>
          <t>悪を討つヒロイックアクション</t>
        </is>
      </c>
      <c r="G582" s="18" t="inlineStr">
        <is>
          <t>SS</t>
        </is>
      </c>
      <c r="H582" s="17" t="inlineStr">
        <is>
          <t>Defender</t>
        </is>
      </c>
      <c r="I582" s="18" t="n">
        <v>4</v>
      </c>
      <c r="J582" s="18" t="n">
        <v>4</v>
      </c>
      <c r="K582" s="18" t="n">
        <v>532</v>
      </c>
      <c r="L582" s="18" t="n">
        <v>442</v>
      </c>
      <c r="M582" s="18" t="n">
        <v>461</v>
      </c>
      <c r="N582" s="18" t="n">
        <v>486</v>
      </c>
      <c r="O582" s="18" t="n">
        <v>476</v>
      </c>
      <c r="P582" s="18" t="n">
        <v>514</v>
      </c>
      <c r="Q582" s="18" t="n">
        <v>54</v>
      </c>
      <c r="R582" s="18" t="n">
        <v>45</v>
      </c>
      <c r="S582" s="18" t="n">
        <v>47</v>
      </c>
      <c r="T582" s="18" t="n">
        <v>49</v>
      </c>
      <c r="U582" s="18" t="n">
        <v>48</v>
      </c>
      <c r="V582" s="18" t="n">
        <v>52</v>
      </c>
      <c r="W582" s="20" t="n"/>
      <c r="X582" s="20" t="n"/>
      <c r="Y582" s="20" t="n"/>
      <c r="Z582" s="20" t="n"/>
      <c r="AA582" s="20" t="n"/>
      <c r="AB582" s="20" t="n"/>
      <c r="AC582" s="21">
        <f>IF(W582="","",W582-K582)</f>
        <v/>
      </c>
      <c r="AD582" s="21">
        <f>IF(X582="","",X582-L582)</f>
        <v/>
      </c>
      <c r="AE582" s="21">
        <f>IF(Y582="","",Y582-M582)</f>
        <v/>
      </c>
      <c r="AF582" s="21">
        <f>IF(Z582="","",Z582-N582)</f>
        <v/>
      </c>
      <c r="AG582" s="21">
        <f>IF(AA582="","",AA582-O582)</f>
        <v/>
      </c>
      <c r="AH582" s="21">
        <f>IF(AB582="","",AB582-P582)</f>
        <v/>
      </c>
      <c r="AI582" s="18">
        <f>IF(COUNTA(W582:AB582)=0,"未入力",IF(COUNTA(W582:AB582)&lt;6,"一部入力",IF(COUNTIF(AC582:AH582,0)=6,"一致","差分あり")))</f>
        <v/>
      </c>
      <c r="AJ5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2" s="19" t="inlineStr"/>
      <c r="AL582" s="18" t="inlineStr">
        <is>
          <t>2026-06-29</t>
        </is>
      </c>
    </row>
    <row r="583" ht="22" customHeight="1">
      <c r="A583" s="17" t="inlineStr">
        <is>
          <t>1007501-LB0</t>
        </is>
      </c>
      <c r="B583" s="18" t="n">
        <v>1007501</v>
      </c>
      <c r="C583" s="17" t="inlineStr">
        <is>
          <t>INatsume01</t>
        </is>
      </c>
      <c r="D583" s="17" t="inlineStr">
        <is>
          <t>INatsume</t>
        </is>
      </c>
      <c r="E583" s="17" t="inlineStr">
        <is>
          <t>夏目 祈</t>
        </is>
      </c>
      <c r="F583" s="19" t="inlineStr">
        <is>
          <t>天誅斬影</t>
        </is>
      </c>
      <c r="G583" s="18" t="inlineStr">
        <is>
          <t>A</t>
        </is>
      </c>
      <c r="H583" s="17" t="inlineStr">
        <is>
          <t>Attacker</t>
        </is>
      </c>
      <c r="I583" s="18" t="n">
        <v>0</v>
      </c>
      <c r="J583" s="18" t="n">
        <v>20</v>
      </c>
      <c r="K583" s="18" t="n">
        <v>289</v>
      </c>
      <c r="L583" s="18" t="n">
        <v>278</v>
      </c>
      <c r="M583" s="18" t="n">
        <v>286</v>
      </c>
      <c r="N583" s="18" t="n">
        <v>285</v>
      </c>
      <c r="O583" s="18" t="n">
        <v>244</v>
      </c>
      <c r="P583" s="18" t="n">
        <v>251</v>
      </c>
      <c r="Q583" s="18" t="n">
        <v>29</v>
      </c>
      <c r="R583" s="18" t="n">
        <v>28</v>
      </c>
      <c r="S583" s="18" t="n">
        <v>29</v>
      </c>
      <c r="T583" s="18" t="n">
        <v>29</v>
      </c>
      <c r="U583" s="18" t="n">
        <v>25</v>
      </c>
      <c r="V583" s="18" t="n">
        <v>26</v>
      </c>
      <c r="W583" s="20" t="n"/>
      <c r="X583" s="20" t="n"/>
      <c r="Y583" s="20" t="n"/>
      <c r="Z583" s="20" t="n"/>
      <c r="AA583" s="20" t="n"/>
      <c r="AB583" s="20" t="n"/>
      <c r="AC583" s="21">
        <f>IF(W583="","",W583-K583)</f>
        <v/>
      </c>
      <c r="AD583" s="21">
        <f>IF(X583="","",X583-L583)</f>
        <v/>
      </c>
      <c r="AE583" s="21">
        <f>IF(Y583="","",Y583-M583)</f>
        <v/>
      </c>
      <c r="AF583" s="21">
        <f>IF(Z583="","",Z583-N583)</f>
        <v/>
      </c>
      <c r="AG583" s="21">
        <f>IF(AA583="","",AA583-O583)</f>
        <v/>
      </c>
      <c r="AH583" s="21">
        <f>IF(AB583="","",AB583-P583)</f>
        <v/>
      </c>
      <c r="AI583" s="18">
        <f>IF(COUNTA(W583:AB583)=0,"未入力",IF(COUNTA(W583:AB583)&lt;6,"一部入力",IF(COUNTIF(AC583:AH583,0)=6,"一致","差分あり")))</f>
        <v/>
      </c>
      <c r="AJ5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3" s="19" t="inlineStr"/>
      <c r="AL583" s="18" t="inlineStr">
        <is>
          <t>2026-06-29</t>
        </is>
      </c>
    </row>
    <row r="584" ht="22" customHeight="1">
      <c r="A584" s="17" t="inlineStr">
        <is>
          <t>1007501-LB20</t>
        </is>
      </c>
      <c r="B584" s="18" t="n">
        <v>1007501</v>
      </c>
      <c r="C584" s="17" t="inlineStr">
        <is>
          <t>INatsume01</t>
        </is>
      </c>
      <c r="D584" s="17" t="inlineStr">
        <is>
          <t>INatsume</t>
        </is>
      </c>
      <c r="E584" s="17" t="inlineStr">
        <is>
          <t>夏目 祈</t>
        </is>
      </c>
      <c r="F584" s="19" t="inlineStr">
        <is>
          <t>天誅斬影</t>
        </is>
      </c>
      <c r="G584" s="18" t="inlineStr">
        <is>
          <t>A</t>
        </is>
      </c>
      <c r="H584" s="17" t="inlineStr">
        <is>
          <t>Attacker</t>
        </is>
      </c>
      <c r="I584" s="18" t="n">
        <v>20</v>
      </c>
      <c r="J584" s="18" t="n">
        <v>20</v>
      </c>
      <c r="K584" s="18" t="n">
        <v>335</v>
      </c>
      <c r="L584" s="18" t="n">
        <v>322</v>
      </c>
      <c r="M584" s="18" t="n">
        <v>331</v>
      </c>
      <c r="N584" s="18" t="n">
        <v>328</v>
      </c>
      <c r="O584" s="18" t="n">
        <v>288</v>
      </c>
      <c r="P584" s="18" t="n">
        <v>295</v>
      </c>
      <c r="Q584" s="18" t="n">
        <v>34</v>
      </c>
      <c r="R584" s="18" t="n">
        <v>33</v>
      </c>
      <c r="S584" s="18" t="n">
        <v>34</v>
      </c>
      <c r="T584" s="18" t="n">
        <v>33</v>
      </c>
      <c r="U584" s="18" t="n">
        <v>29</v>
      </c>
      <c r="V584" s="18" t="n">
        <v>30</v>
      </c>
      <c r="W584" s="20" t="n"/>
      <c r="X584" s="20" t="n"/>
      <c r="Y584" s="20" t="n"/>
      <c r="Z584" s="20" t="n"/>
      <c r="AA584" s="20" t="n"/>
      <c r="AB584" s="20" t="n"/>
      <c r="AC584" s="21">
        <f>IF(W584="","",W584-K584)</f>
        <v/>
      </c>
      <c r="AD584" s="21">
        <f>IF(X584="","",X584-L584)</f>
        <v/>
      </c>
      <c r="AE584" s="21">
        <f>IF(Y584="","",Y584-M584)</f>
        <v/>
      </c>
      <c r="AF584" s="21">
        <f>IF(Z584="","",Z584-N584)</f>
        <v/>
      </c>
      <c r="AG584" s="21">
        <f>IF(AA584="","",AA584-O584)</f>
        <v/>
      </c>
      <c r="AH584" s="21">
        <f>IF(AB584="","",AB584-P584)</f>
        <v/>
      </c>
      <c r="AI584" s="18">
        <f>IF(COUNTA(W584:AB584)=0,"未入力",IF(COUNTA(W584:AB584)&lt;6,"一部入力",IF(COUNTIF(AC584:AH584,0)=6,"一致","差分あり")))</f>
        <v/>
      </c>
      <c r="AJ5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4" s="19" t="inlineStr"/>
      <c r="AL584" s="18" t="inlineStr">
        <is>
          <t>2026-06-29</t>
        </is>
      </c>
    </row>
    <row r="585" ht="22" customHeight="1">
      <c r="A585" s="17" t="inlineStr">
        <is>
          <t>1007502-LB0</t>
        </is>
      </c>
      <c r="B585" s="18" t="n">
        <v>1007502</v>
      </c>
      <c r="C585" s="17" t="inlineStr">
        <is>
          <t>INatsume02</t>
        </is>
      </c>
      <c r="D585" s="17" t="inlineStr">
        <is>
          <t>INatsume</t>
        </is>
      </c>
      <c r="E585" s="17" t="inlineStr">
        <is>
          <t>夏目 祈</t>
        </is>
      </c>
      <c r="F585" s="19" t="inlineStr">
        <is>
          <t>彼岸の人斬り</t>
        </is>
      </c>
      <c r="G585" s="18" t="inlineStr">
        <is>
          <t>S</t>
        </is>
      </c>
      <c r="H585" s="17" t="inlineStr">
        <is>
          <t>Attacker</t>
        </is>
      </c>
      <c r="I585" s="18" t="n">
        <v>0</v>
      </c>
      <c r="J585" s="18" t="n">
        <v>10</v>
      </c>
      <c r="K585" s="18" t="n">
        <v>317</v>
      </c>
      <c r="L585" s="18" t="n">
        <v>345</v>
      </c>
      <c r="M585" s="18" t="n">
        <v>314</v>
      </c>
      <c r="N585" s="18" t="n">
        <v>301</v>
      </c>
      <c r="O585" s="18" t="n">
        <v>347</v>
      </c>
      <c r="P585" s="18" t="n">
        <v>323</v>
      </c>
      <c r="Q585" s="18" t="n">
        <v>32</v>
      </c>
      <c r="R585" s="18" t="n">
        <v>35</v>
      </c>
      <c r="S585" s="18" t="n">
        <v>32</v>
      </c>
      <c r="T585" s="18" t="n">
        <v>31</v>
      </c>
      <c r="U585" s="18" t="n">
        <v>35</v>
      </c>
      <c r="V585" s="18" t="n">
        <v>33</v>
      </c>
      <c r="W585" s="20" t="n"/>
      <c r="X585" s="20" t="n"/>
      <c r="Y585" s="20" t="n"/>
      <c r="Z585" s="20" t="n"/>
      <c r="AA585" s="20" t="n"/>
      <c r="AB585" s="20" t="n"/>
      <c r="AC585" s="21">
        <f>IF(W585="","",W585-K585)</f>
        <v/>
      </c>
      <c r="AD585" s="21">
        <f>IF(X585="","",X585-L585)</f>
        <v/>
      </c>
      <c r="AE585" s="21">
        <f>IF(Y585="","",Y585-M585)</f>
        <v/>
      </c>
      <c r="AF585" s="21">
        <f>IF(Z585="","",Z585-N585)</f>
        <v/>
      </c>
      <c r="AG585" s="21">
        <f>IF(AA585="","",AA585-O585)</f>
        <v/>
      </c>
      <c r="AH585" s="21">
        <f>IF(AB585="","",AB585-P585)</f>
        <v/>
      </c>
      <c r="AI585" s="18">
        <f>IF(COUNTA(W585:AB585)=0,"未入力",IF(COUNTA(W585:AB585)&lt;6,"一部入力",IF(COUNTIF(AC585:AH585,0)=6,"一致","差分あり")))</f>
        <v/>
      </c>
      <c r="AJ5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5" s="19" t="inlineStr"/>
      <c r="AL585" s="18" t="inlineStr">
        <is>
          <t>2026-06-29</t>
        </is>
      </c>
    </row>
    <row r="586" ht="22" customHeight="1">
      <c r="A586" s="17" t="inlineStr">
        <is>
          <t>1007502-LB10</t>
        </is>
      </c>
      <c r="B586" s="18" t="n">
        <v>1007502</v>
      </c>
      <c r="C586" s="17" t="inlineStr">
        <is>
          <t>INatsume02</t>
        </is>
      </c>
      <c r="D586" s="17" t="inlineStr">
        <is>
          <t>INatsume</t>
        </is>
      </c>
      <c r="E586" s="17" t="inlineStr">
        <is>
          <t>夏目 祈</t>
        </is>
      </c>
      <c r="F586" s="19" t="inlineStr">
        <is>
          <t>彼岸の人斬り</t>
        </is>
      </c>
      <c r="G586" s="18" t="inlineStr">
        <is>
          <t>S</t>
        </is>
      </c>
      <c r="H586" s="17" t="inlineStr">
        <is>
          <t>Attacker</t>
        </is>
      </c>
      <c r="I586" s="18" t="n">
        <v>10</v>
      </c>
      <c r="J586" s="18" t="n">
        <v>10</v>
      </c>
      <c r="K586" s="18" t="n">
        <v>385</v>
      </c>
      <c r="L586" s="18" t="n">
        <v>414</v>
      </c>
      <c r="M586" s="18" t="n">
        <v>380</v>
      </c>
      <c r="N586" s="18" t="n">
        <v>365</v>
      </c>
      <c r="O586" s="18" t="n">
        <v>412</v>
      </c>
      <c r="P586" s="18" t="n">
        <v>389</v>
      </c>
      <c r="Q586" s="18" t="n">
        <v>39</v>
      </c>
      <c r="R586" s="18" t="n">
        <v>42</v>
      </c>
      <c r="S586" s="18" t="n">
        <v>38</v>
      </c>
      <c r="T586" s="18" t="n">
        <v>37</v>
      </c>
      <c r="U586" s="18" t="n">
        <v>42</v>
      </c>
      <c r="V586" s="18" t="n">
        <v>39</v>
      </c>
      <c r="W586" s="20" t="n"/>
      <c r="X586" s="20" t="n"/>
      <c r="Y586" s="20" t="n"/>
      <c r="Z586" s="20" t="n"/>
      <c r="AA586" s="20" t="n"/>
      <c r="AB586" s="20" t="n"/>
      <c r="AC586" s="21">
        <f>IF(W586="","",W586-K586)</f>
        <v/>
      </c>
      <c r="AD586" s="21">
        <f>IF(X586="","",X586-L586)</f>
        <v/>
      </c>
      <c r="AE586" s="21">
        <f>IF(Y586="","",Y586-M586)</f>
        <v/>
      </c>
      <c r="AF586" s="21">
        <f>IF(Z586="","",Z586-N586)</f>
        <v/>
      </c>
      <c r="AG586" s="21">
        <f>IF(AA586="","",AA586-O586)</f>
        <v/>
      </c>
      <c r="AH586" s="21">
        <f>IF(AB586="","",AB586-P586)</f>
        <v/>
      </c>
      <c r="AI586" s="18">
        <f>IF(COUNTA(W586:AB586)=0,"未入力",IF(COUNTA(W586:AB586)&lt;6,"一部入力",IF(COUNTIF(AC586:AH586,0)=6,"一致","差分あり")))</f>
        <v/>
      </c>
      <c r="AJ5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6" s="19" t="inlineStr"/>
      <c r="AL586" s="18" t="inlineStr">
        <is>
          <t>2026-06-29</t>
        </is>
      </c>
    </row>
    <row r="587" ht="22" customHeight="1">
      <c r="A587" s="17" t="inlineStr">
        <is>
          <t>1007503-LB0</t>
        </is>
      </c>
      <c r="B587" s="18" t="n">
        <v>1007503</v>
      </c>
      <c r="C587" s="17" t="inlineStr">
        <is>
          <t>INatsume03</t>
        </is>
      </c>
      <c r="D587" s="17" t="inlineStr">
        <is>
          <t>INatsume</t>
        </is>
      </c>
      <c r="E587" s="17" t="inlineStr">
        <is>
          <t>夏目 祈</t>
        </is>
      </c>
      <c r="F587" s="19" t="inlineStr">
        <is>
          <t>剣の冷徹</t>
        </is>
      </c>
      <c r="G587" s="18" t="inlineStr">
        <is>
          <t>SS</t>
        </is>
      </c>
      <c r="H587" s="17" t="inlineStr">
        <is>
          <t>Attacker</t>
        </is>
      </c>
      <c r="I587" s="18" t="n">
        <v>0</v>
      </c>
      <c r="J587" s="18" t="n">
        <v>4</v>
      </c>
      <c r="K587" s="18" t="n">
        <v>425</v>
      </c>
      <c r="L587" s="18" t="n">
        <v>341</v>
      </c>
      <c r="M587" s="18" t="n">
        <v>361</v>
      </c>
      <c r="N587" s="18" t="n">
        <v>371</v>
      </c>
      <c r="O587" s="18" t="n">
        <v>374</v>
      </c>
      <c r="P587" s="18" t="n">
        <v>396</v>
      </c>
      <c r="Q587" s="18" t="n">
        <v>43</v>
      </c>
      <c r="R587" s="18" t="n">
        <v>35</v>
      </c>
      <c r="S587" s="18" t="n">
        <v>37</v>
      </c>
      <c r="T587" s="18" t="n">
        <v>38</v>
      </c>
      <c r="U587" s="18" t="n">
        <v>38</v>
      </c>
      <c r="V587" s="18" t="n">
        <v>40</v>
      </c>
      <c r="W587" s="20" t="n"/>
      <c r="X587" s="20" t="n"/>
      <c r="Y587" s="20" t="n"/>
      <c r="Z587" s="20" t="n"/>
      <c r="AA587" s="20" t="n"/>
      <c r="AB587" s="20" t="n"/>
      <c r="AC587" s="21">
        <f>IF(W587="","",W587-K587)</f>
        <v/>
      </c>
      <c r="AD587" s="21">
        <f>IF(X587="","",X587-L587)</f>
        <v/>
      </c>
      <c r="AE587" s="21">
        <f>IF(Y587="","",Y587-M587)</f>
        <v/>
      </c>
      <c r="AF587" s="21">
        <f>IF(Z587="","",Z587-N587)</f>
        <v/>
      </c>
      <c r="AG587" s="21">
        <f>IF(AA587="","",AA587-O587)</f>
        <v/>
      </c>
      <c r="AH587" s="21">
        <f>IF(AB587="","",AB587-P587)</f>
        <v/>
      </c>
      <c r="AI587" s="18">
        <f>IF(COUNTA(W587:AB587)=0,"未入力",IF(COUNTA(W587:AB587)&lt;6,"一部入力",IF(COUNTIF(AC587:AH587,0)=6,"一致","差分あり")))</f>
        <v/>
      </c>
      <c r="AJ5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7" s="19" t="inlineStr"/>
      <c r="AL587" s="18" t="inlineStr">
        <is>
          <t>2026-06-29</t>
        </is>
      </c>
    </row>
    <row r="588" ht="22" customHeight="1">
      <c r="A588" s="17" t="inlineStr">
        <is>
          <t>1007503-LB4</t>
        </is>
      </c>
      <c r="B588" s="18" t="n">
        <v>1007503</v>
      </c>
      <c r="C588" s="17" t="inlineStr">
        <is>
          <t>INatsume03</t>
        </is>
      </c>
      <c r="D588" s="17" t="inlineStr">
        <is>
          <t>INatsume</t>
        </is>
      </c>
      <c r="E588" s="17" t="inlineStr">
        <is>
          <t>夏目 祈</t>
        </is>
      </c>
      <c r="F588" s="19" t="inlineStr">
        <is>
          <t>剣の冷徹</t>
        </is>
      </c>
      <c r="G588" s="18" t="inlineStr">
        <is>
          <t>SS</t>
        </is>
      </c>
      <c r="H588" s="17" t="inlineStr">
        <is>
          <t>Attacker</t>
        </is>
      </c>
      <c r="I588" s="18" t="n">
        <v>4</v>
      </c>
      <c r="J588" s="18" t="n">
        <v>4</v>
      </c>
      <c r="K588" s="18" t="n">
        <v>516</v>
      </c>
      <c r="L588" s="18" t="n">
        <v>428</v>
      </c>
      <c r="M588" s="18" t="n">
        <v>448</v>
      </c>
      <c r="N588" s="18" t="n">
        <v>457</v>
      </c>
      <c r="O588" s="18" t="n">
        <v>461</v>
      </c>
      <c r="P588" s="18" t="n">
        <v>485</v>
      </c>
      <c r="Q588" s="18" t="n">
        <v>52</v>
      </c>
      <c r="R588" s="18" t="n">
        <v>43</v>
      </c>
      <c r="S588" s="18" t="n">
        <v>45</v>
      </c>
      <c r="T588" s="18" t="n">
        <v>46</v>
      </c>
      <c r="U588" s="18" t="n">
        <v>47</v>
      </c>
      <c r="V588" s="18" t="n">
        <v>49</v>
      </c>
      <c r="W588" s="20" t="n"/>
      <c r="X588" s="20" t="n"/>
      <c r="Y588" s="20" t="n"/>
      <c r="Z588" s="20" t="n"/>
      <c r="AA588" s="20" t="n"/>
      <c r="AB588" s="20" t="n"/>
      <c r="AC588" s="21">
        <f>IF(W588="","",W588-K588)</f>
        <v/>
      </c>
      <c r="AD588" s="21">
        <f>IF(X588="","",X588-L588)</f>
        <v/>
      </c>
      <c r="AE588" s="21">
        <f>IF(Y588="","",Y588-M588)</f>
        <v/>
      </c>
      <c r="AF588" s="21">
        <f>IF(Z588="","",Z588-N588)</f>
        <v/>
      </c>
      <c r="AG588" s="21">
        <f>IF(AA588="","",AA588-O588)</f>
        <v/>
      </c>
      <c r="AH588" s="21">
        <f>IF(AB588="","",AB588-P588)</f>
        <v/>
      </c>
      <c r="AI588" s="18">
        <f>IF(COUNTA(W588:AB588)=0,"未入力",IF(COUNTA(W588:AB588)&lt;6,"一部入力",IF(COUNTIF(AC588:AH588,0)=6,"一致","差分あり")))</f>
        <v/>
      </c>
      <c r="AJ5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8" s="19" t="inlineStr"/>
      <c r="AL588" s="18" t="inlineStr">
        <is>
          <t>2026-06-29</t>
        </is>
      </c>
    </row>
    <row r="589" ht="22" customHeight="1">
      <c r="A589" s="17" t="inlineStr">
        <is>
          <t>1007504-LB0</t>
        </is>
      </c>
      <c r="B589" s="18" t="n">
        <v>1007504</v>
      </c>
      <c r="C589" s="17" t="inlineStr">
        <is>
          <t>INatsume04</t>
        </is>
      </c>
      <c r="D589" s="17" t="inlineStr">
        <is>
          <t>INatsume</t>
        </is>
      </c>
      <c r="E589" s="17" t="inlineStr">
        <is>
          <t>夏目 祈</t>
        </is>
      </c>
      <c r="F589" s="19" t="inlineStr">
        <is>
          <t>薫衣香る夢見鳥</t>
        </is>
      </c>
      <c r="G589" s="18" t="inlineStr">
        <is>
          <t>SS</t>
        </is>
      </c>
      <c r="H589" s="17" t="inlineStr">
        <is>
          <t>Attacker</t>
        </is>
      </c>
      <c r="I589" s="18" t="n">
        <v>0</v>
      </c>
      <c r="J589" s="18" t="n">
        <v>4</v>
      </c>
      <c r="K589" s="18" t="n">
        <v>448</v>
      </c>
      <c r="L589" s="18" t="n">
        <v>362</v>
      </c>
      <c r="M589" s="18" t="n">
        <v>383</v>
      </c>
      <c r="N589" s="18" t="n">
        <v>392</v>
      </c>
      <c r="O589" s="18" t="n">
        <v>396</v>
      </c>
      <c r="P589" s="18" t="n">
        <v>419</v>
      </c>
      <c r="Q589" s="18" t="n">
        <v>45</v>
      </c>
      <c r="R589" s="18" t="n">
        <v>37</v>
      </c>
      <c r="S589" s="18" t="n">
        <v>39</v>
      </c>
      <c r="T589" s="18" t="n">
        <v>40</v>
      </c>
      <c r="U589" s="18" t="n">
        <v>40</v>
      </c>
      <c r="V589" s="18" t="n">
        <v>42</v>
      </c>
      <c r="W589" s="20" t="n"/>
      <c r="X589" s="20" t="n"/>
      <c r="Y589" s="20" t="n"/>
      <c r="Z589" s="20" t="n"/>
      <c r="AA589" s="20" t="n"/>
      <c r="AB589" s="20" t="n"/>
      <c r="AC589" s="21">
        <f>IF(W589="","",W589-K589)</f>
        <v/>
      </c>
      <c r="AD589" s="21">
        <f>IF(X589="","",X589-L589)</f>
        <v/>
      </c>
      <c r="AE589" s="21">
        <f>IF(Y589="","",Y589-M589)</f>
        <v/>
      </c>
      <c r="AF589" s="21">
        <f>IF(Z589="","",Z589-N589)</f>
        <v/>
      </c>
      <c r="AG589" s="21">
        <f>IF(AA589="","",AA589-O589)</f>
        <v/>
      </c>
      <c r="AH589" s="21">
        <f>IF(AB589="","",AB589-P589)</f>
        <v/>
      </c>
      <c r="AI589" s="18">
        <f>IF(COUNTA(W589:AB589)=0,"未入力",IF(COUNTA(W589:AB589)&lt;6,"一部入力",IF(COUNTIF(AC589:AH589,0)=6,"一致","差分あり")))</f>
        <v/>
      </c>
      <c r="AJ5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89" s="19" t="inlineStr"/>
      <c r="AL589" s="18" t="inlineStr">
        <is>
          <t>2026-06-29</t>
        </is>
      </c>
    </row>
    <row r="590" ht="22" customHeight="1">
      <c r="A590" s="17" t="inlineStr">
        <is>
          <t>1007504-LB4</t>
        </is>
      </c>
      <c r="B590" s="18" t="n">
        <v>1007504</v>
      </c>
      <c r="C590" s="17" t="inlineStr">
        <is>
          <t>INatsume04</t>
        </is>
      </c>
      <c r="D590" s="17" t="inlineStr">
        <is>
          <t>INatsume</t>
        </is>
      </c>
      <c r="E590" s="17" t="inlineStr">
        <is>
          <t>夏目 祈</t>
        </is>
      </c>
      <c r="F590" s="19" t="inlineStr">
        <is>
          <t>薫衣香る夢見鳥</t>
        </is>
      </c>
      <c r="G590" s="18" t="inlineStr">
        <is>
          <t>SS</t>
        </is>
      </c>
      <c r="H590" s="17" t="inlineStr">
        <is>
          <t>Attacker</t>
        </is>
      </c>
      <c r="I590" s="18" t="n">
        <v>4</v>
      </c>
      <c r="J590" s="18" t="n">
        <v>4</v>
      </c>
      <c r="K590" s="18" t="n">
        <v>539</v>
      </c>
      <c r="L590" s="18" t="n">
        <v>450</v>
      </c>
      <c r="M590" s="18" t="n">
        <v>469</v>
      </c>
      <c r="N590" s="18" t="n">
        <v>478</v>
      </c>
      <c r="O590" s="18" t="n">
        <v>482</v>
      </c>
      <c r="P590" s="18" t="n">
        <v>508</v>
      </c>
      <c r="Q590" s="18" t="n">
        <v>54</v>
      </c>
      <c r="R590" s="18" t="n">
        <v>45</v>
      </c>
      <c r="S590" s="18" t="n">
        <v>47</v>
      </c>
      <c r="T590" s="18" t="n">
        <v>48</v>
      </c>
      <c r="U590" s="18" t="n">
        <v>49</v>
      </c>
      <c r="V590" s="18" t="n">
        <v>51</v>
      </c>
      <c r="W590" s="20" t="n"/>
      <c r="X590" s="20" t="n"/>
      <c r="Y590" s="20" t="n"/>
      <c r="Z590" s="20" t="n"/>
      <c r="AA590" s="20" t="n"/>
      <c r="AB590" s="20" t="n"/>
      <c r="AC590" s="21">
        <f>IF(W590="","",W590-K590)</f>
        <v/>
      </c>
      <c r="AD590" s="21">
        <f>IF(X590="","",X590-L590)</f>
        <v/>
      </c>
      <c r="AE590" s="21">
        <f>IF(Y590="","",Y590-M590)</f>
        <v/>
      </c>
      <c r="AF590" s="21">
        <f>IF(Z590="","",Z590-N590)</f>
        <v/>
      </c>
      <c r="AG590" s="21">
        <f>IF(AA590="","",AA590-O590)</f>
        <v/>
      </c>
      <c r="AH590" s="21">
        <f>IF(AB590="","",AB590-P590)</f>
        <v/>
      </c>
      <c r="AI590" s="18">
        <f>IF(COUNTA(W590:AB590)=0,"未入力",IF(COUNTA(W590:AB590)&lt;6,"一部入力",IF(COUNTIF(AC590:AH590,0)=6,"一致","差分あり")))</f>
        <v/>
      </c>
      <c r="AJ5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0" s="19" t="inlineStr"/>
      <c r="AL590" s="18" t="inlineStr">
        <is>
          <t>2026-06-29</t>
        </is>
      </c>
    </row>
    <row r="591" ht="22" customHeight="1">
      <c r="A591" s="17" t="inlineStr">
        <is>
          <t>1007505-LB0</t>
        </is>
      </c>
      <c r="B591" s="18" t="n">
        <v>1007505</v>
      </c>
      <c r="C591" s="17" t="inlineStr">
        <is>
          <t>INatsume05</t>
        </is>
      </c>
      <c r="D591" s="17" t="inlineStr">
        <is>
          <t>INatsume</t>
        </is>
      </c>
      <c r="E591" s="17" t="inlineStr">
        <is>
          <t>夏目 祈</t>
        </is>
      </c>
      <c r="F591" s="19" t="inlineStr">
        <is>
          <t>青春ラピスラズリ</t>
        </is>
      </c>
      <c r="G591" s="18" t="inlineStr">
        <is>
          <t>SS</t>
        </is>
      </c>
      <c r="H591" s="17" t="inlineStr">
        <is>
          <t>Blaster</t>
        </is>
      </c>
      <c r="I591" s="18" t="n">
        <v>0</v>
      </c>
      <c r="J591" s="18" t="n">
        <v>4</v>
      </c>
      <c r="K591" s="18" t="n">
        <v>448</v>
      </c>
      <c r="L591" s="18" t="n">
        <v>362</v>
      </c>
      <c r="M591" s="18" t="n">
        <v>383</v>
      </c>
      <c r="N591" s="18" t="n">
        <v>392</v>
      </c>
      <c r="O591" s="18" t="n">
        <v>396</v>
      </c>
      <c r="P591" s="18" t="n">
        <v>419</v>
      </c>
      <c r="Q591" s="18" t="n">
        <v>45</v>
      </c>
      <c r="R591" s="18" t="n">
        <v>37</v>
      </c>
      <c r="S591" s="18" t="n">
        <v>39</v>
      </c>
      <c r="T591" s="18" t="n">
        <v>40</v>
      </c>
      <c r="U591" s="18" t="n">
        <v>40</v>
      </c>
      <c r="V591" s="18" t="n">
        <v>42</v>
      </c>
      <c r="W591" s="20" t="n"/>
      <c r="X591" s="20" t="n"/>
      <c r="Y591" s="20" t="n"/>
      <c r="Z591" s="20" t="n"/>
      <c r="AA591" s="20" t="n"/>
      <c r="AB591" s="20" t="n"/>
      <c r="AC591" s="21">
        <f>IF(W591="","",W591-K591)</f>
        <v/>
      </c>
      <c r="AD591" s="21">
        <f>IF(X591="","",X591-L591)</f>
        <v/>
      </c>
      <c r="AE591" s="21">
        <f>IF(Y591="","",Y591-M591)</f>
        <v/>
      </c>
      <c r="AF591" s="21">
        <f>IF(Z591="","",Z591-N591)</f>
        <v/>
      </c>
      <c r="AG591" s="21">
        <f>IF(AA591="","",AA591-O591)</f>
        <v/>
      </c>
      <c r="AH591" s="21">
        <f>IF(AB591="","",AB591-P591)</f>
        <v/>
      </c>
      <c r="AI591" s="18">
        <f>IF(COUNTA(W591:AB591)=0,"未入力",IF(COUNTA(W591:AB591)&lt;6,"一部入力",IF(COUNTIF(AC591:AH591,0)=6,"一致","差分あり")))</f>
        <v/>
      </c>
      <c r="AJ5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1" s="19" t="inlineStr"/>
      <c r="AL591" s="18" t="inlineStr">
        <is>
          <t>2026-06-29</t>
        </is>
      </c>
    </row>
    <row r="592" ht="22" customHeight="1">
      <c r="A592" s="17" t="inlineStr">
        <is>
          <t>1007505-LB4</t>
        </is>
      </c>
      <c r="B592" s="18" t="n">
        <v>1007505</v>
      </c>
      <c r="C592" s="17" t="inlineStr">
        <is>
          <t>INatsume05</t>
        </is>
      </c>
      <c r="D592" s="17" t="inlineStr">
        <is>
          <t>INatsume</t>
        </is>
      </c>
      <c r="E592" s="17" t="inlineStr">
        <is>
          <t>夏目 祈</t>
        </is>
      </c>
      <c r="F592" s="19" t="inlineStr">
        <is>
          <t>青春ラピスラズリ</t>
        </is>
      </c>
      <c r="G592" s="18" t="inlineStr">
        <is>
          <t>SS</t>
        </is>
      </c>
      <c r="H592" s="17" t="inlineStr">
        <is>
          <t>Blaster</t>
        </is>
      </c>
      <c r="I592" s="18" t="n">
        <v>4</v>
      </c>
      <c r="J592" s="18" t="n">
        <v>4</v>
      </c>
      <c r="K592" s="18" t="n">
        <v>539</v>
      </c>
      <c r="L592" s="18" t="n">
        <v>450</v>
      </c>
      <c r="M592" s="18" t="n">
        <v>469</v>
      </c>
      <c r="N592" s="18" t="n">
        <v>478</v>
      </c>
      <c r="O592" s="18" t="n">
        <v>482</v>
      </c>
      <c r="P592" s="18" t="n">
        <v>508</v>
      </c>
      <c r="Q592" s="18" t="n">
        <v>54</v>
      </c>
      <c r="R592" s="18" t="n">
        <v>45</v>
      </c>
      <c r="S592" s="18" t="n">
        <v>47</v>
      </c>
      <c r="T592" s="18" t="n">
        <v>48</v>
      </c>
      <c r="U592" s="18" t="n">
        <v>49</v>
      </c>
      <c r="V592" s="18" t="n">
        <v>51</v>
      </c>
      <c r="W592" s="20" t="n"/>
      <c r="X592" s="20" t="n"/>
      <c r="Y592" s="20" t="n"/>
      <c r="Z592" s="20" t="n"/>
      <c r="AA592" s="20" t="n"/>
      <c r="AB592" s="20" t="n"/>
      <c r="AC592" s="21">
        <f>IF(W592="","",W592-K592)</f>
        <v/>
      </c>
      <c r="AD592" s="21">
        <f>IF(X592="","",X592-L592)</f>
        <v/>
      </c>
      <c r="AE592" s="21">
        <f>IF(Y592="","",Y592-M592)</f>
        <v/>
      </c>
      <c r="AF592" s="21">
        <f>IF(Z592="","",Z592-N592)</f>
        <v/>
      </c>
      <c r="AG592" s="21">
        <f>IF(AA592="","",AA592-O592)</f>
        <v/>
      </c>
      <c r="AH592" s="21">
        <f>IF(AB592="","",AB592-P592)</f>
        <v/>
      </c>
      <c r="AI592" s="18">
        <f>IF(COUNTA(W592:AB592)=0,"未入力",IF(COUNTA(W592:AB592)&lt;6,"一部入力",IF(COUNTIF(AC592:AH592,0)=6,"一致","差分あり")))</f>
        <v/>
      </c>
      <c r="AJ5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2" s="19" t="inlineStr"/>
      <c r="AL592" s="18" t="inlineStr">
        <is>
          <t>2026-06-29</t>
        </is>
      </c>
    </row>
    <row r="593" ht="22" customHeight="1">
      <c r="A593" s="17" t="inlineStr">
        <is>
          <t>1007506-LB0</t>
        </is>
      </c>
      <c r="B593" s="18" t="n">
        <v>1007506</v>
      </c>
      <c r="C593" s="17" t="inlineStr">
        <is>
          <t>INatsume06</t>
        </is>
      </c>
      <c r="D593" s="17" t="inlineStr">
        <is>
          <t>INatsume</t>
        </is>
      </c>
      <c r="E593" s="17" t="inlineStr">
        <is>
          <t>夏目 祈</t>
        </is>
      </c>
      <c r="F593" s="19" t="inlineStr">
        <is>
          <t>花影、舞の構え</t>
        </is>
      </c>
      <c r="G593" s="18" t="inlineStr">
        <is>
          <t>SSR</t>
        </is>
      </c>
      <c r="H593" s="17" t="inlineStr">
        <is>
          <t>Attacker</t>
        </is>
      </c>
      <c r="I593" s="18" t="n">
        <v>0</v>
      </c>
      <c r="J593" s="18" t="n">
        <v>4</v>
      </c>
      <c r="K593" s="18" t="n">
        <v>448</v>
      </c>
      <c r="L593" s="18" t="n">
        <v>362</v>
      </c>
      <c r="M593" s="18" t="n">
        <v>383</v>
      </c>
      <c r="N593" s="18" t="n">
        <v>392</v>
      </c>
      <c r="O593" s="18" t="n">
        <v>396</v>
      </c>
      <c r="P593" s="18" t="n">
        <v>419</v>
      </c>
      <c r="Q593" s="18" t="n">
        <v>45</v>
      </c>
      <c r="R593" s="18" t="n">
        <v>37</v>
      </c>
      <c r="S593" s="18" t="n">
        <v>39</v>
      </c>
      <c r="T593" s="18" t="n">
        <v>40</v>
      </c>
      <c r="U593" s="18" t="n">
        <v>40</v>
      </c>
      <c r="V593" s="18" t="n">
        <v>42</v>
      </c>
      <c r="W593" s="20" t="n"/>
      <c r="X593" s="20" t="n"/>
      <c r="Y593" s="20" t="n"/>
      <c r="Z593" s="20" t="n"/>
      <c r="AA593" s="20" t="n"/>
      <c r="AB593" s="20" t="n"/>
      <c r="AC593" s="21">
        <f>IF(W593="","",W593-K593)</f>
        <v/>
      </c>
      <c r="AD593" s="21">
        <f>IF(X593="","",X593-L593)</f>
        <v/>
      </c>
      <c r="AE593" s="21">
        <f>IF(Y593="","",Y593-M593)</f>
        <v/>
      </c>
      <c r="AF593" s="21">
        <f>IF(Z593="","",Z593-N593)</f>
        <v/>
      </c>
      <c r="AG593" s="21">
        <f>IF(AA593="","",AA593-O593)</f>
        <v/>
      </c>
      <c r="AH593" s="21">
        <f>IF(AB593="","",AB593-P593)</f>
        <v/>
      </c>
      <c r="AI593" s="18">
        <f>IF(COUNTA(W593:AB593)=0,"未入力",IF(COUNTA(W593:AB593)&lt;6,"一部入力",IF(COUNTIF(AC593:AH593,0)=6,"一致","差分あり")))</f>
        <v/>
      </c>
      <c r="AJ5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3" s="19" t="inlineStr"/>
      <c r="AL593" s="18" t="inlineStr">
        <is>
          <t>2026-06-29</t>
        </is>
      </c>
    </row>
    <row r="594" ht="22" customHeight="1">
      <c r="A594" s="17" t="inlineStr">
        <is>
          <t>1007506-LB4</t>
        </is>
      </c>
      <c r="B594" s="18" t="n">
        <v>1007506</v>
      </c>
      <c r="C594" s="17" t="inlineStr">
        <is>
          <t>INatsume06</t>
        </is>
      </c>
      <c r="D594" s="17" t="inlineStr">
        <is>
          <t>INatsume</t>
        </is>
      </c>
      <c r="E594" s="17" t="inlineStr">
        <is>
          <t>夏目 祈</t>
        </is>
      </c>
      <c r="F594" s="19" t="inlineStr">
        <is>
          <t>花影、舞の構え</t>
        </is>
      </c>
      <c r="G594" s="18" t="inlineStr">
        <is>
          <t>SSR</t>
        </is>
      </c>
      <c r="H594" s="17" t="inlineStr">
        <is>
          <t>Attacker</t>
        </is>
      </c>
      <c r="I594" s="18" t="n">
        <v>4</v>
      </c>
      <c r="J594" s="18" t="n">
        <v>4</v>
      </c>
      <c r="K594" s="18" t="n">
        <v>539</v>
      </c>
      <c r="L594" s="18" t="n">
        <v>450</v>
      </c>
      <c r="M594" s="18" t="n">
        <v>469</v>
      </c>
      <c r="N594" s="18" t="n">
        <v>478</v>
      </c>
      <c r="O594" s="18" t="n">
        <v>482</v>
      </c>
      <c r="P594" s="18" t="n">
        <v>508</v>
      </c>
      <c r="Q594" s="18" t="n">
        <v>54</v>
      </c>
      <c r="R594" s="18" t="n">
        <v>45</v>
      </c>
      <c r="S594" s="18" t="n">
        <v>47</v>
      </c>
      <c r="T594" s="18" t="n">
        <v>48</v>
      </c>
      <c r="U594" s="18" t="n">
        <v>49</v>
      </c>
      <c r="V594" s="18" t="n">
        <v>51</v>
      </c>
      <c r="W594" s="20" t="n"/>
      <c r="X594" s="20" t="n"/>
      <c r="Y594" s="20" t="n"/>
      <c r="Z594" s="20" t="n"/>
      <c r="AA594" s="20" t="n"/>
      <c r="AB594" s="20" t="n"/>
      <c r="AC594" s="21">
        <f>IF(W594="","",W594-K594)</f>
        <v/>
      </c>
      <c r="AD594" s="21">
        <f>IF(X594="","",X594-L594)</f>
        <v/>
      </c>
      <c r="AE594" s="21">
        <f>IF(Y594="","",Y594-M594)</f>
        <v/>
      </c>
      <c r="AF594" s="21">
        <f>IF(Z594="","",Z594-N594)</f>
        <v/>
      </c>
      <c r="AG594" s="21">
        <f>IF(AA594="","",AA594-O594)</f>
        <v/>
      </c>
      <c r="AH594" s="21">
        <f>IF(AB594="","",AB594-P594)</f>
        <v/>
      </c>
      <c r="AI594" s="18">
        <f>IF(COUNTA(W594:AB594)=0,"未入力",IF(COUNTA(W594:AB594)&lt;6,"一部入力",IF(COUNTIF(AC594:AH594,0)=6,"一致","差分あり")))</f>
        <v/>
      </c>
      <c r="AJ5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4" s="19" t="inlineStr"/>
      <c r="AL594" s="18" t="inlineStr">
        <is>
          <t>2026-06-29</t>
        </is>
      </c>
    </row>
    <row r="595" ht="22" customHeight="1">
      <c r="A595" s="17" t="inlineStr">
        <is>
          <t>1007601-LB0</t>
        </is>
      </c>
      <c r="B595" s="18" t="n">
        <v>1007601</v>
      </c>
      <c r="C595" s="17" t="inlineStr">
        <is>
          <t>MKurosawa01</t>
        </is>
      </c>
      <c r="D595" s="17" t="inlineStr">
        <is>
          <t>MKurosawa</t>
        </is>
      </c>
      <c r="E595" s="17" t="inlineStr">
        <is>
          <t>黒沢 真希</t>
        </is>
      </c>
      <c r="F595" s="19" t="inlineStr">
        <is>
          <t>Highway of Angels</t>
        </is>
      </c>
      <c r="G595" s="18" t="inlineStr">
        <is>
          <t>A</t>
        </is>
      </c>
      <c r="H595" s="17" t="inlineStr">
        <is>
          <t>Blaster</t>
        </is>
      </c>
      <c r="I595" s="18" t="n">
        <v>0</v>
      </c>
      <c r="J595" s="18" t="n">
        <v>20</v>
      </c>
      <c r="K595" s="18" t="n">
        <v>247</v>
      </c>
      <c r="L595" s="18" t="n">
        <v>289</v>
      </c>
      <c r="M595" s="18" t="n">
        <v>275</v>
      </c>
      <c r="N595" s="18" t="n">
        <v>249</v>
      </c>
      <c r="O595" s="18" t="n">
        <v>293</v>
      </c>
      <c r="P595" s="18" t="n">
        <v>278</v>
      </c>
      <c r="Q595" s="18" t="n">
        <v>25</v>
      </c>
      <c r="R595" s="18" t="n">
        <v>29</v>
      </c>
      <c r="S595" s="18" t="n">
        <v>28</v>
      </c>
      <c r="T595" s="18" t="n">
        <v>25</v>
      </c>
      <c r="U595" s="18" t="n">
        <v>30</v>
      </c>
      <c r="V595" s="18" t="n">
        <v>28</v>
      </c>
      <c r="W595" s="20" t="n"/>
      <c r="X595" s="20" t="n"/>
      <c r="Y595" s="20" t="n"/>
      <c r="Z595" s="20" t="n"/>
      <c r="AA595" s="20" t="n"/>
      <c r="AB595" s="20" t="n"/>
      <c r="AC595" s="21">
        <f>IF(W595="","",W595-K595)</f>
        <v/>
      </c>
      <c r="AD595" s="21">
        <f>IF(X595="","",X595-L595)</f>
        <v/>
      </c>
      <c r="AE595" s="21">
        <f>IF(Y595="","",Y595-M595)</f>
        <v/>
      </c>
      <c r="AF595" s="21">
        <f>IF(Z595="","",Z595-N595)</f>
        <v/>
      </c>
      <c r="AG595" s="21">
        <f>IF(AA595="","",AA595-O595)</f>
        <v/>
      </c>
      <c r="AH595" s="21">
        <f>IF(AB595="","",AB595-P595)</f>
        <v/>
      </c>
      <c r="AI595" s="18">
        <f>IF(COUNTA(W595:AB595)=0,"未入力",IF(COUNTA(W595:AB595)&lt;6,"一部入力",IF(COUNTIF(AC595:AH595,0)=6,"一致","差分あり")))</f>
        <v/>
      </c>
      <c r="AJ5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5" s="19" t="inlineStr"/>
      <c r="AL595" s="18" t="inlineStr">
        <is>
          <t>2026-06-29</t>
        </is>
      </c>
    </row>
    <row r="596" ht="22" customHeight="1">
      <c r="A596" s="17" t="inlineStr">
        <is>
          <t>1007601-LB20</t>
        </is>
      </c>
      <c r="B596" s="18" t="n">
        <v>1007601</v>
      </c>
      <c r="C596" s="17" t="inlineStr">
        <is>
          <t>MKurosawa01</t>
        </is>
      </c>
      <c r="D596" s="17" t="inlineStr">
        <is>
          <t>MKurosawa</t>
        </is>
      </c>
      <c r="E596" s="17" t="inlineStr">
        <is>
          <t>黒沢 真希</t>
        </is>
      </c>
      <c r="F596" s="19" t="inlineStr">
        <is>
          <t>Highway of Angels</t>
        </is>
      </c>
      <c r="G596" s="18" t="inlineStr">
        <is>
          <t>A</t>
        </is>
      </c>
      <c r="H596" s="17" t="inlineStr">
        <is>
          <t>Blaster</t>
        </is>
      </c>
      <c r="I596" s="18" t="n">
        <v>20</v>
      </c>
      <c r="J596" s="18" t="n">
        <v>20</v>
      </c>
      <c r="K596" s="18" t="n">
        <v>291</v>
      </c>
      <c r="L596" s="18" t="n">
        <v>334</v>
      </c>
      <c r="M596" s="18" t="n">
        <v>319</v>
      </c>
      <c r="N596" s="18" t="n">
        <v>293</v>
      </c>
      <c r="O596" s="18" t="n">
        <v>337</v>
      </c>
      <c r="P596" s="18" t="n">
        <v>322</v>
      </c>
      <c r="Q596" s="18" t="n">
        <v>30</v>
      </c>
      <c r="R596" s="18" t="n">
        <v>34</v>
      </c>
      <c r="S596" s="18" t="n">
        <v>32</v>
      </c>
      <c r="T596" s="18" t="n">
        <v>30</v>
      </c>
      <c r="U596" s="18" t="n">
        <v>34</v>
      </c>
      <c r="V596" s="18" t="n">
        <v>33</v>
      </c>
      <c r="W596" s="20" t="n"/>
      <c r="X596" s="20" t="n"/>
      <c r="Y596" s="20" t="n"/>
      <c r="Z596" s="20" t="n"/>
      <c r="AA596" s="20" t="n"/>
      <c r="AB596" s="20" t="n"/>
      <c r="AC596" s="21">
        <f>IF(W596="","",W596-K596)</f>
        <v/>
      </c>
      <c r="AD596" s="21">
        <f>IF(X596="","",X596-L596)</f>
        <v/>
      </c>
      <c r="AE596" s="21">
        <f>IF(Y596="","",Y596-M596)</f>
        <v/>
      </c>
      <c r="AF596" s="21">
        <f>IF(Z596="","",Z596-N596)</f>
        <v/>
      </c>
      <c r="AG596" s="21">
        <f>IF(AA596="","",AA596-O596)</f>
        <v/>
      </c>
      <c r="AH596" s="21">
        <f>IF(AB596="","",AB596-P596)</f>
        <v/>
      </c>
      <c r="AI596" s="18">
        <f>IF(COUNTA(W596:AB596)=0,"未入力",IF(COUNTA(W596:AB596)&lt;6,"一部入力",IF(COUNTIF(AC596:AH596,0)=6,"一致","差分あり")))</f>
        <v/>
      </c>
      <c r="AJ5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6" s="19" t="inlineStr"/>
      <c r="AL596" s="18" t="inlineStr">
        <is>
          <t>2026-06-29</t>
        </is>
      </c>
    </row>
    <row r="597" ht="22" customHeight="1">
      <c r="A597" s="17" t="inlineStr">
        <is>
          <t>1007602-LB0</t>
        </is>
      </c>
      <c r="B597" s="18" t="n">
        <v>1007602</v>
      </c>
      <c r="C597" s="17" t="inlineStr">
        <is>
          <t>MKurosawa02</t>
        </is>
      </c>
      <c r="D597" s="17" t="inlineStr">
        <is>
          <t>MKurosawa</t>
        </is>
      </c>
      <c r="E597" s="17" t="inlineStr">
        <is>
          <t>黒沢 真希</t>
        </is>
      </c>
      <c r="F597" s="19" t="inlineStr">
        <is>
          <t>唯我独尊</t>
        </is>
      </c>
      <c r="G597" s="18" t="inlineStr">
        <is>
          <t>S</t>
        </is>
      </c>
      <c r="H597" s="17" t="inlineStr">
        <is>
          <t>Blaster</t>
        </is>
      </c>
      <c r="I597" s="18" t="n">
        <v>0</v>
      </c>
      <c r="J597" s="18" t="n">
        <v>10</v>
      </c>
      <c r="K597" s="18" t="n">
        <v>318</v>
      </c>
      <c r="L597" s="18" t="n">
        <v>317</v>
      </c>
      <c r="M597" s="18" t="n">
        <v>345</v>
      </c>
      <c r="N597" s="18" t="n">
        <v>353</v>
      </c>
      <c r="O597" s="18" t="n">
        <v>309</v>
      </c>
      <c r="P597" s="18" t="n">
        <v>305</v>
      </c>
      <c r="Q597" s="18" t="n">
        <v>32</v>
      </c>
      <c r="R597" s="18" t="n">
        <v>32</v>
      </c>
      <c r="S597" s="18" t="n">
        <v>35</v>
      </c>
      <c r="T597" s="18" t="n">
        <v>36</v>
      </c>
      <c r="U597" s="18" t="n">
        <v>31</v>
      </c>
      <c r="V597" s="18" t="n">
        <v>31</v>
      </c>
      <c r="W597" s="20" t="n"/>
      <c r="X597" s="20" t="n"/>
      <c r="Y597" s="20" t="n"/>
      <c r="Z597" s="20" t="n"/>
      <c r="AA597" s="20" t="n"/>
      <c r="AB597" s="20" t="n"/>
      <c r="AC597" s="21">
        <f>IF(W597="","",W597-K597)</f>
        <v/>
      </c>
      <c r="AD597" s="21">
        <f>IF(X597="","",X597-L597)</f>
        <v/>
      </c>
      <c r="AE597" s="21">
        <f>IF(Y597="","",Y597-M597)</f>
        <v/>
      </c>
      <c r="AF597" s="21">
        <f>IF(Z597="","",Z597-N597)</f>
        <v/>
      </c>
      <c r="AG597" s="21">
        <f>IF(AA597="","",AA597-O597)</f>
        <v/>
      </c>
      <c r="AH597" s="21">
        <f>IF(AB597="","",AB597-P597)</f>
        <v/>
      </c>
      <c r="AI597" s="18">
        <f>IF(COUNTA(W597:AB597)=0,"未入力",IF(COUNTA(W597:AB597)&lt;6,"一部入力",IF(COUNTIF(AC597:AH597,0)=6,"一致","差分あり")))</f>
        <v/>
      </c>
      <c r="AJ5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7" s="19" t="inlineStr"/>
      <c r="AL597" s="18" t="inlineStr">
        <is>
          <t>2026-06-29</t>
        </is>
      </c>
    </row>
    <row r="598" ht="22" customHeight="1">
      <c r="A598" s="17" t="inlineStr">
        <is>
          <t>1007602-LB10</t>
        </is>
      </c>
      <c r="B598" s="18" t="n">
        <v>1007602</v>
      </c>
      <c r="C598" s="17" t="inlineStr">
        <is>
          <t>MKurosawa02</t>
        </is>
      </c>
      <c r="D598" s="17" t="inlineStr">
        <is>
          <t>MKurosawa</t>
        </is>
      </c>
      <c r="E598" s="17" t="inlineStr">
        <is>
          <t>黒沢 真希</t>
        </is>
      </c>
      <c r="F598" s="19" t="inlineStr">
        <is>
          <t>唯我独尊</t>
        </is>
      </c>
      <c r="G598" s="18" t="inlineStr">
        <is>
          <t>S</t>
        </is>
      </c>
      <c r="H598" s="17" t="inlineStr">
        <is>
          <t>Blaster</t>
        </is>
      </c>
      <c r="I598" s="18" t="n">
        <v>10</v>
      </c>
      <c r="J598" s="18" t="n">
        <v>10</v>
      </c>
      <c r="K598" s="18" t="n">
        <v>384</v>
      </c>
      <c r="L598" s="18" t="n">
        <v>383</v>
      </c>
      <c r="M598" s="18" t="n">
        <v>410</v>
      </c>
      <c r="N598" s="18" t="n">
        <v>419</v>
      </c>
      <c r="O598" s="18" t="n">
        <v>375</v>
      </c>
      <c r="P598" s="18" t="n">
        <v>370</v>
      </c>
      <c r="Q598" s="18" t="n">
        <v>39</v>
      </c>
      <c r="R598" s="18" t="n">
        <v>39</v>
      </c>
      <c r="S598" s="18" t="n">
        <v>41</v>
      </c>
      <c r="T598" s="18" t="n">
        <v>42</v>
      </c>
      <c r="U598" s="18" t="n">
        <v>38</v>
      </c>
      <c r="V598" s="18" t="n">
        <v>37</v>
      </c>
      <c r="W598" s="20" t="n"/>
      <c r="X598" s="20" t="n"/>
      <c r="Y598" s="20" t="n"/>
      <c r="Z598" s="20" t="n"/>
      <c r="AA598" s="20" t="n"/>
      <c r="AB598" s="20" t="n"/>
      <c r="AC598" s="21">
        <f>IF(W598="","",W598-K598)</f>
        <v/>
      </c>
      <c r="AD598" s="21">
        <f>IF(X598="","",X598-L598)</f>
        <v/>
      </c>
      <c r="AE598" s="21">
        <f>IF(Y598="","",Y598-M598)</f>
        <v/>
      </c>
      <c r="AF598" s="21">
        <f>IF(Z598="","",Z598-N598)</f>
        <v/>
      </c>
      <c r="AG598" s="21">
        <f>IF(AA598="","",AA598-O598)</f>
        <v/>
      </c>
      <c r="AH598" s="21">
        <f>IF(AB598="","",AB598-P598)</f>
        <v/>
      </c>
      <c r="AI598" s="18">
        <f>IF(COUNTA(W598:AB598)=0,"未入力",IF(COUNTA(W598:AB598)&lt;6,"一部入力",IF(COUNTIF(AC598:AH598,0)=6,"一致","差分あり")))</f>
        <v/>
      </c>
      <c r="AJ5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8" s="19" t="inlineStr"/>
      <c r="AL598" s="18" t="inlineStr">
        <is>
          <t>2026-06-29</t>
        </is>
      </c>
    </row>
    <row r="599" ht="22" customHeight="1">
      <c r="A599" s="17" t="inlineStr">
        <is>
          <t>1007603-LB0</t>
        </is>
      </c>
      <c r="B599" s="18" t="n">
        <v>1007603</v>
      </c>
      <c r="C599" s="17" t="inlineStr">
        <is>
          <t>MKurosawa03</t>
        </is>
      </c>
      <c r="D599" s="17" t="inlineStr">
        <is>
          <t>MKurosawa</t>
        </is>
      </c>
      <c r="E599" s="17" t="inlineStr">
        <is>
          <t>黒沢 真希</t>
        </is>
      </c>
      <c r="F599" s="19" t="inlineStr">
        <is>
          <t>ハレの日の仏恥義理</t>
        </is>
      </c>
      <c r="G599" s="18" t="inlineStr">
        <is>
          <t>SS</t>
        </is>
      </c>
      <c r="H599" s="17" t="inlineStr">
        <is>
          <t>Blaster</t>
        </is>
      </c>
      <c r="I599" s="18" t="n">
        <v>0</v>
      </c>
      <c r="J599" s="18" t="n">
        <v>4</v>
      </c>
      <c r="K599" s="18" t="n">
        <v>413</v>
      </c>
      <c r="L599" s="18" t="n">
        <v>342</v>
      </c>
      <c r="M599" s="18" t="n">
        <v>359</v>
      </c>
      <c r="N599" s="18" t="n">
        <v>380</v>
      </c>
      <c r="O599" s="18" t="n">
        <v>380</v>
      </c>
      <c r="P599" s="18" t="n">
        <v>388</v>
      </c>
      <c r="Q599" s="18" t="n">
        <v>42</v>
      </c>
      <c r="R599" s="18" t="n">
        <v>35</v>
      </c>
      <c r="S599" s="18" t="n">
        <v>36</v>
      </c>
      <c r="T599" s="18" t="n">
        <v>38</v>
      </c>
      <c r="U599" s="18" t="n">
        <v>38</v>
      </c>
      <c r="V599" s="18" t="n">
        <v>39</v>
      </c>
      <c r="W599" s="20" t="n"/>
      <c r="X599" s="20" t="n"/>
      <c r="Y599" s="20" t="n"/>
      <c r="Z599" s="20" t="n"/>
      <c r="AA599" s="20" t="n"/>
      <c r="AB599" s="20" t="n"/>
      <c r="AC599" s="21">
        <f>IF(W599="","",W599-K599)</f>
        <v/>
      </c>
      <c r="AD599" s="21">
        <f>IF(X599="","",X599-L599)</f>
        <v/>
      </c>
      <c r="AE599" s="21">
        <f>IF(Y599="","",Y599-M599)</f>
        <v/>
      </c>
      <c r="AF599" s="21">
        <f>IF(Z599="","",Z599-N599)</f>
        <v/>
      </c>
      <c r="AG599" s="21">
        <f>IF(AA599="","",AA599-O599)</f>
        <v/>
      </c>
      <c r="AH599" s="21">
        <f>IF(AB599="","",AB599-P599)</f>
        <v/>
      </c>
      <c r="AI599" s="18">
        <f>IF(COUNTA(W599:AB599)=0,"未入力",IF(COUNTA(W599:AB599)&lt;6,"一部入力",IF(COUNTIF(AC599:AH599,0)=6,"一致","差分あり")))</f>
        <v/>
      </c>
      <c r="AJ5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599" s="19" t="inlineStr"/>
      <c r="AL599" s="18" t="inlineStr">
        <is>
          <t>2026-06-29</t>
        </is>
      </c>
    </row>
    <row r="600" ht="22" customHeight="1">
      <c r="A600" s="17" t="inlineStr">
        <is>
          <t>1007603-LB4</t>
        </is>
      </c>
      <c r="B600" s="18" t="n">
        <v>1007603</v>
      </c>
      <c r="C600" s="17" t="inlineStr">
        <is>
          <t>MKurosawa03</t>
        </is>
      </c>
      <c r="D600" s="17" t="inlineStr">
        <is>
          <t>MKurosawa</t>
        </is>
      </c>
      <c r="E600" s="17" t="inlineStr">
        <is>
          <t>黒沢 真希</t>
        </is>
      </c>
      <c r="F600" s="19" t="inlineStr">
        <is>
          <t>ハレの日の仏恥義理</t>
        </is>
      </c>
      <c r="G600" s="18" t="inlineStr">
        <is>
          <t>SS</t>
        </is>
      </c>
      <c r="H600" s="17" t="inlineStr">
        <is>
          <t>Blaster</t>
        </is>
      </c>
      <c r="I600" s="18" t="n">
        <v>4</v>
      </c>
      <c r="J600" s="18" t="n">
        <v>4</v>
      </c>
      <c r="K600" s="18" t="n">
        <v>501</v>
      </c>
      <c r="L600" s="18" t="n">
        <v>430</v>
      </c>
      <c r="M600" s="18" t="n">
        <v>446</v>
      </c>
      <c r="N600" s="18" t="n">
        <v>468</v>
      </c>
      <c r="O600" s="18" t="n">
        <v>468</v>
      </c>
      <c r="P600" s="18" t="n">
        <v>475</v>
      </c>
      <c r="Q600" s="18" t="n">
        <v>51</v>
      </c>
      <c r="R600" s="18" t="n">
        <v>43</v>
      </c>
      <c r="S600" s="18" t="n">
        <v>45</v>
      </c>
      <c r="T600" s="18" t="n">
        <v>47</v>
      </c>
      <c r="U600" s="18" t="n">
        <v>47</v>
      </c>
      <c r="V600" s="18" t="n">
        <v>48</v>
      </c>
      <c r="W600" s="20" t="n"/>
      <c r="X600" s="20" t="n"/>
      <c r="Y600" s="20" t="n"/>
      <c r="Z600" s="20" t="n"/>
      <c r="AA600" s="20" t="n"/>
      <c r="AB600" s="20" t="n"/>
      <c r="AC600" s="21">
        <f>IF(W600="","",W600-K600)</f>
        <v/>
      </c>
      <c r="AD600" s="21">
        <f>IF(X600="","",X600-L600)</f>
        <v/>
      </c>
      <c r="AE600" s="21">
        <f>IF(Y600="","",Y600-M600)</f>
        <v/>
      </c>
      <c r="AF600" s="21">
        <f>IF(Z600="","",Z600-N600)</f>
        <v/>
      </c>
      <c r="AG600" s="21">
        <f>IF(AA600="","",AA600-O600)</f>
        <v/>
      </c>
      <c r="AH600" s="21">
        <f>IF(AB600="","",AB600-P600)</f>
        <v/>
      </c>
      <c r="AI600" s="18">
        <f>IF(COUNTA(W600:AB600)=0,"未入力",IF(COUNTA(W600:AB600)&lt;6,"一部入力",IF(COUNTIF(AC600:AH600,0)=6,"一致","差分あり")))</f>
        <v/>
      </c>
      <c r="AJ6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0" s="19" t="inlineStr"/>
      <c r="AL600" s="18" t="inlineStr">
        <is>
          <t>2026-06-29</t>
        </is>
      </c>
    </row>
    <row r="601" ht="22" customHeight="1">
      <c r="A601" s="17" t="inlineStr">
        <is>
          <t>1007604-LB0</t>
        </is>
      </c>
      <c r="B601" s="18" t="n">
        <v>1007604</v>
      </c>
      <c r="C601" s="17" t="inlineStr">
        <is>
          <t>MKurosawa04</t>
        </is>
      </c>
      <c r="D601" s="17" t="inlineStr">
        <is>
          <t>MKurosawa</t>
        </is>
      </c>
      <c r="E601" s="17" t="inlineStr">
        <is>
          <t>黒沢 真希</t>
        </is>
      </c>
      <c r="F601" s="19" t="inlineStr">
        <is>
          <t>青あらし走死走愛</t>
        </is>
      </c>
      <c r="G601" s="18" t="inlineStr">
        <is>
          <t>SS</t>
        </is>
      </c>
      <c r="H601" s="17" t="inlineStr">
        <is>
          <t>Breaker</t>
        </is>
      </c>
      <c r="I601" s="18" t="n">
        <v>0</v>
      </c>
      <c r="J601" s="18" t="n">
        <v>4</v>
      </c>
      <c r="K601" s="18" t="n">
        <v>365</v>
      </c>
      <c r="L601" s="18" t="n">
        <v>434</v>
      </c>
      <c r="M601" s="18" t="n">
        <v>394</v>
      </c>
      <c r="N601" s="18" t="n">
        <v>389</v>
      </c>
      <c r="O601" s="18" t="n">
        <v>415</v>
      </c>
      <c r="P601" s="18" t="n">
        <v>397</v>
      </c>
      <c r="Q601" s="18" t="n">
        <v>37</v>
      </c>
      <c r="R601" s="18" t="n">
        <v>44</v>
      </c>
      <c r="S601" s="18" t="n">
        <v>40</v>
      </c>
      <c r="T601" s="18" t="n">
        <v>39</v>
      </c>
      <c r="U601" s="18" t="n">
        <v>42</v>
      </c>
      <c r="V601" s="18" t="n">
        <v>40</v>
      </c>
      <c r="W601" s="20" t="n"/>
      <c r="X601" s="20" t="n"/>
      <c r="Y601" s="20" t="n"/>
      <c r="Z601" s="20" t="n"/>
      <c r="AA601" s="20" t="n"/>
      <c r="AB601" s="20" t="n"/>
      <c r="AC601" s="21">
        <f>IF(W601="","",W601-K601)</f>
        <v/>
      </c>
      <c r="AD601" s="21">
        <f>IF(X601="","",X601-L601)</f>
        <v/>
      </c>
      <c r="AE601" s="21">
        <f>IF(Y601="","",Y601-M601)</f>
        <v/>
      </c>
      <c r="AF601" s="21">
        <f>IF(Z601="","",Z601-N601)</f>
        <v/>
      </c>
      <c r="AG601" s="21">
        <f>IF(AA601="","",AA601-O601)</f>
        <v/>
      </c>
      <c r="AH601" s="21">
        <f>IF(AB601="","",AB601-P601)</f>
        <v/>
      </c>
      <c r="AI601" s="18">
        <f>IF(COUNTA(W601:AB601)=0,"未入力",IF(COUNTA(W601:AB601)&lt;6,"一部入力",IF(COUNTIF(AC601:AH601,0)=6,"一致","差分あり")))</f>
        <v/>
      </c>
      <c r="AJ6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1" s="19" t="inlineStr"/>
      <c r="AL601" s="18" t="inlineStr">
        <is>
          <t>2026-06-29</t>
        </is>
      </c>
    </row>
    <row r="602" ht="22" customHeight="1">
      <c r="A602" s="17" t="inlineStr">
        <is>
          <t>1007604-LB4</t>
        </is>
      </c>
      <c r="B602" s="18" t="n">
        <v>1007604</v>
      </c>
      <c r="C602" s="17" t="inlineStr">
        <is>
          <t>MKurosawa04</t>
        </is>
      </c>
      <c r="D602" s="17" t="inlineStr">
        <is>
          <t>MKurosawa</t>
        </is>
      </c>
      <c r="E602" s="17" t="inlineStr">
        <is>
          <t>黒沢 真希</t>
        </is>
      </c>
      <c r="F602" s="19" t="inlineStr">
        <is>
          <t>青あらし走死走愛</t>
        </is>
      </c>
      <c r="G602" s="18" t="inlineStr">
        <is>
          <t>SS</t>
        </is>
      </c>
      <c r="H602" s="17" t="inlineStr">
        <is>
          <t>Breaker</t>
        </is>
      </c>
      <c r="I602" s="18" t="n">
        <v>4</v>
      </c>
      <c r="J602" s="18" t="n">
        <v>4</v>
      </c>
      <c r="K602" s="18" t="n">
        <v>453</v>
      </c>
      <c r="L602" s="18" t="n">
        <v>521</v>
      </c>
      <c r="M602" s="18" t="n">
        <v>480</v>
      </c>
      <c r="N602" s="18" t="n">
        <v>477</v>
      </c>
      <c r="O602" s="18" t="n">
        <v>504</v>
      </c>
      <c r="P602" s="18" t="n">
        <v>484</v>
      </c>
      <c r="Q602" s="18" t="n">
        <v>46</v>
      </c>
      <c r="R602" s="18" t="n">
        <v>53</v>
      </c>
      <c r="S602" s="18" t="n">
        <v>48</v>
      </c>
      <c r="T602" s="18" t="n">
        <v>48</v>
      </c>
      <c r="U602" s="18" t="n">
        <v>51</v>
      </c>
      <c r="V602" s="18" t="n">
        <v>49</v>
      </c>
      <c r="W602" s="20" t="n"/>
      <c r="X602" s="20" t="n"/>
      <c r="Y602" s="20" t="n"/>
      <c r="Z602" s="20" t="n"/>
      <c r="AA602" s="20" t="n"/>
      <c r="AB602" s="20" t="n"/>
      <c r="AC602" s="21">
        <f>IF(W602="","",W602-K602)</f>
        <v/>
      </c>
      <c r="AD602" s="21">
        <f>IF(X602="","",X602-L602)</f>
        <v/>
      </c>
      <c r="AE602" s="21">
        <f>IF(Y602="","",Y602-M602)</f>
        <v/>
      </c>
      <c r="AF602" s="21">
        <f>IF(Z602="","",Z602-N602)</f>
        <v/>
      </c>
      <c r="AG602" s="21">
        <f>IF(AA602="","",AA602-O602)</f>
        <v/>
      </c>
      <c r="AH602" s="21">
        <f>IF(AB602="","",AB602-P602)</f>
        <v/>
      </c>
      <c r="AI602" s="18">
        <f>IF(COUNTA(W602:AB602)=0,"未入力",IF(COUNTA(W602:AB602)&lt;6,"一部入力",IF(COUNTIF(AC602:AH602,0)=6,"一致","差分あり")))</f>
        <v/>
      </c>
      <c r="AJ6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2" s="19" t="inlineStr"/>
      <c r="AL602" s="18" t="inlineStr">
        <is>
          <t>2026-06-29</t>
        </is>
      </c>
    </row>
    <row r="603" ht="22" customHeight="1">
      <c r="A603" s="17" t="inlineStr">
        <is>
          <t>1007605-LB0</t>
        </is>
      </c>
      <c r="B603" s="18" t="n">
        <v>1007605</v>
      </c>
      <c r="C603" s="17" t="inlineStr">
        <is>
          <t>MKurosawa05</t>
        </is>
      </c>
      <c r="D603" s="17" t="inlineStr">
        <is>
          <t>MKurosawa</t>
        </is>
      </c>
      <c r="E603" s="17" t="inlineStr">
        <is>
          <t>黒沢 真希</t>
        </is>
      </c>
      <c r="F603" s="19" t="inlineStr">
        <is>
          <t>総長は読書がお好き</t>
        </is>
      </c>
      <c r="G603" s="18" t="inlineStr">
        <is>
          <t>S</t>
        </is>
      </c>
      <c r="H603" s="17" t="inlineStr">
        <is>
          <t>Breaker</t>
        </is>
      </c>
      <c r="I603" s="18" t="n">
        <v>0</v>
      </c>
      <c r="J603" s="18" t="n">
        <v>10</v>
      </c>
      <c r="K603" s="18" t="n">
        <v>307</v>
      </c>
      <c r="L603" s="18" t="n">
        <v>347</v>
      </c>
      <c r="M603" s="18" t="n">
        <v>313</v>
      </c>
      <c r="N603" s="18" t="n">
        <v>309</v>
      </c>
      <c r="O603" s="18" t="n">
        <v>353</v>
      </c>
      <c r="P603" s="18" t="n">
        <v>316</v>
      </c>
      <c r="Q603" s="18" t="n">
        <v>31</v>
      </c>
      <c r="R603" s="18" t="n">
        <v>35</v>
      </c>
      <c r="S603" s="18" t="n">
        <v>32</v>
      </c>
      <c r="T603" s="18" t="n">
        <v>31</v>
      </c>
      <c r="U603" s="18" t="n">
        <v>36</v>
      </c>
      <c r="V603" s="18" t="n">
        <v>32</v>
      </c>
      <c r="W603" s="20" t="n"/>
      <c r="X603" s="20" t="n"/>
      <c r="Y603" s="20" t="n"/>
      <c r="Z603" s="20" t="n"/>
      <c r="AA603" s="20" t="n"/>
      <c r="AB603" s="20" t="n"/>
      <c r="AC603" s="21">
        <f>IF(W603="","",W603-K603)</f>
        <v/>
      </c>
      <c r="AD603" s="21">
        <f>IF(X603="","",X603-L603)</f>
        <v/>
      </c>
      <c r="AE603" s="21">
        <f>IF(Y603="","",Y603-M603)</f>
        <v/>
      </c>
      <c r="AF603" s="21">
        <f>IF(Z603="","",Z603-N603)</f>
        <v/>
      </c>
      <c r="AG603" s="21">
        <f>IF(AA603="","",AA603-O603)</f>
        <v/>
      </c>
      <c r="AH603" s="21">
        <f>IF(AB603="","",AB603-P603)</f>
        <v/>
      </c>
      <c r="AI603" s="18">
        <f>IF(COUNTA(W603:AB603)=0,"未入力",IF(COUNTA(W603:AB603)&lt;6,"一部入力",IF(COUNTIF(AC603:AH603,0)=6,"一致","差分あり")))</f>
        <v/>
      </c>
      <c r="AJ6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3" s="19" t="inlineStr"/>
      <c r="AL603" s="18" t="inlineStr">
        <is>
          <t>2026-06-29</t>
        </is>
      </c>
    </row>
    <row r="604" ht="22" customHeight="1">
      <c r="A604" s="17" t="inlineStr">
        <is>
          <t>1007605-LB10</t>
        </is>
      </c>
      <c r="B604" s="18" t="n">
        <v>1007605</v>
      </c>
      <c r="C604" s="17" t="inlineStr">
        <is>
          <t>MKurosawa05</t>
        </is>
      </c>
      <c r="D604" s="17" t="inlineStr">
        <is>
          <t>MKurosawa</t>
        </is>
      </c>
      <c r="E604" s="17" t="inlineStr">
        <is>
          <t>黒沢 真希</t>
        </is>
      </c>
      <c r="F604" s="19" t="inlineStr">
        <is>
          <t>総長は読書がお好き</t>
        </is>
      </c>
      <c r="G604" s="18" t="inlineStr">
        <is>
          <t>S</t>
        </is>
      </c>
      <c r="H604" s="17" t="inlineStr">
        <is>
          <t>Breaker</t>
        </is>
      </c>
      <c r="I604" s="18" t="n">
        <v>10</v>
      </c>
      <c r="J604" s="18" t="n">
        <v>10</v>
      </c>
      <c r="K604" s="18" t="n">
        <v>373</v>
      </c>
      <c r="L604" s="18" t="n">
        <v>416</v>
      </c>
      <c r="M604" s="18" t="n">
        <v>378</v>
      </c>
      <c r="N604" s="18" t="n">
        <v>375</v>
      </c>
      <c r="O604" s="18" t="n">
        <v>419</v>
      </c>
      <c r="P604" s="18" t="n">
        <v>381</v>
      </c>
      <c r="Q604" s="18" t="n">
        <v>38</v>
      </c>
      <c r="R604" s="18" t="n">
        <v>42</v>
      </c>
      <c r="S604" s="18" t="n">
        <v>38</v>
      </c>
      <c r="T604" s="18" t="n">
        <v>38</v>
      </c>
      <c r="U604" s="18" t="n">
        <v>42</v>
      </c>
      <c r="V604" s="18" t="n">
        <v>39</v>
      </c>
      <c r="W604" s="20" t="n"/>
      <c r="X604" s="20" t="n"/>
      <c r="Y604" s="20" t="n"/>
      <c r="Z604" s="20" t="n"/>
      <c r="AA604" s="20" t="n"/>
      <c r="AB604" s="20" t="n"/>
      <c r="AC604" s="21">
        <f>IF(W604="","",W604-K604)</f>
        <v/>
      </c>
      <c r="AD604" s="21">
        <f>IF(X604="","",X604-L604)</f>
        <v/>
      </c>
      <c r="AE604" s="21">
        <f>IF(Y604="","",Y604-M604)</f>
        <v/>
      </c>
      <c r="AF604" s="21">
        <f>IF(Z604="","",Z604-N604)</f>
        <v/>
      </c>
      <c r="AG604" s="21">
        <f>IF(AA604="","",AA604-O604)</f>
        <v/>
      </c>
      <c r="AH604" s="21">
        <f>IF(AB604="","",AB604-P604)</f>
        <v/>
      </c>
      <c r="AI604" s="18">
        <f>IF(COUNTA(W604:AB604)=0,"未入力",IF(COUNTA(W604:AB604)&lt;6,"一部入力",IF(COUNTIF(AC604:AH604,0)=6,"一致","差分あり")))</f>
        <v/>
      </c>
      <c r="AJ6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4" s="19" t="inlineStr"/>
      <c r="AL604" s="18" t="inlineStr">
        <is>
          <t>2026-06-29</t>
        </is>
      </c>
    </row>
    <row r="605" ht="22" customHeight="1">
      <c r="A605" s="17" t="inlineStr">
        <is>
          <t>1007606-LB0</t>
        </is>
      </c>
      <c r="B605" s="18" t="n">
        <v>1007606</v>
      </c>
      <c r="C605" s="17" t="inlineStr">
        <is>
          <t>MKurosawa06</t>
        </is>
      </c>
      <c r="D605" s="17" t="inlineStr">
        <is>
          <t>MKurosawa</t>
        </is>
      </c>
      <c r="E605" s="17" t="inlineStr">
        <is>
          <t>黒沢 真希</t>
        </is>
      </c>
      <c r="F605" s="19" t="inlineStr">
        <is>
          <t>鉄火場の女帝</t>
        </is>
      </c>
      <c r="G605" s="18" t="inlineStr">
        <is>
          <t>SSR</t>
        </is>
      </c>
      <c r="H605" s="17" t="inlineStr">
        <is>
          <t>Debuffer</t>
        </is>
      </c>
      <c r="I605" s="18" t="n">
        <v>0</v>
      </c>
      <c r="J605" s="18" t="n">
        <v>4</v>
      </c>
      <c r="K605" s="18" t="n">
        <v>400</v>
      </c>
      <c r="L605" s="18" t="n">
        <v>399</v>
      </c>
      <c r="M605" s="18" t="n">
        <v>428</v>
      </c>
      <c r="N605" s="18" t="n">
        <v>415</v>
      </c>
      <c r="O605" s="18" t="n">
        <v>389</v>
      </c>
      <c r="P605" s="18" t="n">
        <v>362</v>
      </c>
      <c r="Q605" s="18" t="n">
        <v>40</v>
      </c>
      <c r="R605" s="18" t="n">
        <v>40</v>
      </c>
      <c r="S605" s="18" t="n">
        <v>43</v>
      </c>
      <c r="T605" s="18" t="n">
        <v>42</v>
      </c>
      <c r="U605" s="18" t="n">
        <v>39</v>
      </c>
      <c r="V605" s="18" t="n">
        <v>37</v>
      </c>
      <c r="W605" s="20" t="n"/>
      <c r="X605" s="20" t="n"/>
      <c r="Y605" s="20" t="n"/>
      <c r="Z605" s="20" t="n"/>
      <c r="AA605" s="20" t="n"/>
      <c r="AB605" s="20" t="n"/>
      <c r="AC605" s="21">
        <f>IF(W605="","",W605-K605)</f>
        <v/>
      </c>
      <c r="AD605" s="21">
        <f>IF(X605="","",X605-L605)</f>
        <v/>
      </c>
      <c r="AE605" s="21">
        <f>IF(Y605="","",Y605-M605)</f>
        <v/>
      </c>
      <c r="AF605" s="21">
        <f>IF(Z605="","",Z605-N605)</f>
        <v/>
      </c>
      <c r="AG605" s="21">
        <f>IF(AA605="","",AA605-O605)</f>
        <v/>
      </c>
      <c r="AH605" s="21">
        <f>IF(AB605="","",AB605-P605)</f>
        <v/>
      </c>
      <c r="AI605" s="18">
        <f>IF(COUNTA(W605:AB605)=0,"未入力",IF(COUNTA(W605:AB605)&lt;6,"一部入力",IF(COUNTIF(AC605:AH605,0)=6,"一致","差分あり")))</f>
        <v/>
      </c>
      <c r="AJ6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5" s="19" t="inlineStr"/>
      <c r="AL605" s="18" t="inlineStr">
        <is>
          <t>2026-06-29</t>
        </is>
      </c>
    </row>
    <row r="606" ht="22" customHeight="1">
      <c r="A606" s="17" t="inlineStr">
        <is>
          <t>1007606-LB4</t>
        </is>
      </c>
      <c r="B606" s="18" t="n">
        <v>1007606</v>
      </c>
      <c r="C606" s="17" t="inlineStr">
        <is>
          <t>MKurosawa06</t>
        </is>
      </c>
      <c r="D606" s="17" t="inlineStr">
        <is>
          <t>MKurosawa</t>
        </is>
      </c>
      <c r="E606" s="17" t="inlineStr">
        <is>
          <t>黒沢 真希</t>
        </is>
      </c>
      <c r="F606" s="19" t="inlineStr">
        <is>
          <t>鉄火場の女帝</t>
        </is>
      </c>
      <c r="G606" s="18" t="inlineStr">
        <is>
          <t>SSR</t>
        </is>
      </c>
      <c r="H606" s="17" t="inlineStr">
        <is>
          <t>Debuffer</t>
        </is>
      </c>
      <c r="I606" s="18" t="n">
        <v>4</v>
      </c>
      <c r="J606" s="18" t="n">
        <v>4</v>
      </c>
      <c r="K606" s="18" t="n">
        <v>488</v>
      </c>
      <c r="L606" s="18" t="n">
        <v>486</v>
      </c>
      <c r="M606" s="18" t="n">
        <v>515</v>
      </c>
      <c r="N606" s="18" t="n">
        <v>504</v>
      </c>
      <c r="O606" s="18" t="n">
        <v>477</v>
      </c>
      <c r="P606" s="18" t="n">
        <v>450</v>
      </c>
      <c r="Q606" s="18" t="n">
        <v>49</v>
      </c>
      <c r="R606" s="18" t="n">
        <v>49</v>
      </c>
      <c r="S606" s="18" t="n">
        <v>52</v>
      </c>
      <c r="T606" s="18" t="n">
        <v>51</v>
      </c>
      <c r="U606" s="18" t="n">
        <v>48</v>
      </c>
      <c r="V606" s="18" t="n">
        <v>45</v>
      </c>
      <c r="W606" s="20" t="n"/>
      <c r="X606" s="20" t="n"/>
      <c r="Y606" s="20" t="n"/>
      <c r="Z606" s="20" t="n"/>
      <c r="AA606" s="20" t="n"/>
      <c r="AB606" s="20" t="n"/>
      <c r="AC606" s="21">
        <f>IF(W606="","",W606-K606)</f>
        <v/>
      </c>
      <c r="AD606" s="21">
        <f>IF(X606="","",X606-L606)</f>
        <v/>
      </c>
      <c r="AE606" s="21">
        <f>IF(Y606="","",Y606-M606)</f>
        <v/>
      </c>
      <c r="AF606" s="21">
        <f>IF(Z606="","",Z606-N606)</f>
        <v/>
      </c>
      <c r="AG606" s="21">
        <f>IF(AA606="","",AA606-O606)</f>
        <v/>
      </c>
      <c r="AH606" s="21">
        <f>IF(AB606="","",AB606-P606)</f>
        <v/>
      </c>
      <c r="AI606" s="18">
        <f>IF(COUNTA(W606:AB606)=0,"未入力",IF(COUNTA(W606:AB606)&lt;6,"一部入力",IF(COUNTIF(AC606:AH606,0)=6,"一致","差分あり")))</f>
        <v/>
      </c>
      <c r="AJ6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6" s="19" t="inlineStr"/>
      <c r="AL606" s="18" t="inlineStr">
        <is>
          <t>2026-06-29</t>
        </is>
      </c>
    </row>
    <row r="607" ht="22" customHeight="1">
      <c r="A607" s="17" t="inlineStr">
        <is>
          <t>1008101-LB0</t>
        </is>
      </c>
      <c r="B607" s="18" t="n">
        <v>1008101</v>
      </c>
      <c r="C607" s="17" t="inlineStr">
        <is>
          <t>CReaper01</t>
        </is>
      </c>
      <c r="D607" s="17" t="inlineStr">
        <is>
          <t>CReaper</t>
        </is>
      </c>
      <c r="E607" s="17" t="inlineStr">
        <is>
          <t>キャロル・リーパー</t>
        </is>
      </c>
      <c r="F607" s="19" t="inlineStr">
        <is>
          <t>星の継承者</t>
        </is>
      </c>
      <c r="G607" s="18" t="inlineStr">
        <is>
          <t>A</t>
        </is>
      </c>
      <c r="H607" s="17" t="inlineStr">
        <is>
          <t>Attacker</t>
        </is>
      </c>
      <c r="I607" s="18" t="n">
        <v>0</v>
      </c>
      <c r="J607" s="18" t="n">
        <v>20</v>
      </c>
      <c r="K607" s="18" t="n">
        <v>284</v>
      </c>
      <c r="L607" s="18" t="n">
        <v>280</v>
      </c>
      <c r="M607" s="18" t="n">
        <v>291</v>
      </c>
      <c r="N607" s="18" t="n">
        <v>290</v>
      </c>
      <c r="O607" s="18" t="n">
        <v>242</v>
      </c>
      <c r="P607" s="18" t="n">
        <v>250</v>
      </c>
      <c r="Q607" s="18" t="n">
        <v>29</v>
      </c>
      <c r="R607" s="18" t="n">
        <v>28</v>
      </c>
      <c r="S607" s="18" t="n">
        <v>30</v>
      </c>
      <c r="T607" s="18" t="n">
        <v>29</v>
      </c>
      <c r="U607" s="18" t="n">
        <v>25</v>
      </c>
      <c r="V607" s="18" t="n">
        <v>25</v>
      </c>
      <c r="W607" s="20" t="n"/>
      <c r="X607" s="20" t="n"/>
      <c r="Y607" s="20" t="n"/>
      <c r="Z607" s="20" t="n"/>
      <c r="AA607" s="20" t="n"/>
      <c r="AB607" s="20" t="n"/>
      <c r="AC607" s="21">
        <f>IF(W607="","",W607-K607)</f>
        <v/>
      </c>
      <c r="AD607" s="21">
        <f>IF(X607="","",X607-L607)</f>
        <v/>
      </c>
      <c r="AE607" s="21">
        <f>IF(Y607="","",Y607-M607)</f>
        <v/>
      </c>
      <c r="AF607" s="21">
        <f>IF(Z607="","",Z607-N607)</f>
        <v/>
      </c>
      <c r="AG607" s="21">
        <f>IF(AA607="","",AA607-O607)</f>
        <v/>
      </c>
      <c r="AH607" s="21">
        <f>IF(AB607="","",AB607-P607)</f>
        <v/>
      </c>
      <c r="AI607" s="18">
        <f>IF(COUNTA(W607:AB607)=0,"未入力",IF(COUNTA(W607:AB607)&lt;6,"一部入力",IF(COUNTIF(AC607:AH607,0)=6,"一致","差分あり")))</f>
        <v/>
      </c>
      <c r="AJ6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7" s="19" t="inlineStr"/>
      <c r="AL607" s="18" t="inlineStr">
        <is>
          <t>2026-06-29</t>
        </is>
      </c>
    </row>
    <row r="608" ht="22" customHeight="1">
      <c r="A608" s="17" t="inlineStr">
        <is>
          <t>1008101-LB20</t>
        </is>
      </c>
      <c r="B608" s="18" t="n">
        <v>1008101</v>
      </c>
      <c r="C608" s="17" t="inlineStr">
        <is>
          <t>CReaper01</t>
        </is>
      </c>
      <c r="D608" s="17" t="inlineStr">
        <is>
          <t>CReaper</t>
        </is>
      </c>
      <c r="E608" s="17" t="inlineStr">
        <is>
          <t>キャロル・リーパー</t>
        </is>
      </c>
      <c r="F608" s="19" t="inlineStr">
        <is>
          <t>星の継承者</t>
        </is>
      </c>
      <c r="G608" s="18" t="inlineStr">
        <is>
          <t>A</t>
        </is>
      </c>
      <c r="H608" s="17" t="inlineStr">
        <is>
          <t>Attacker</t>
        </is>
      </c>
      <c r="I608" s="18" t="n">
        <v>20</v>
      </c>
      <c r="J608" s="18" t="n">
        <v>20</v>
      </c>
      <c r="K608" s="18" t="n">
        <v>329</v>
      </c>
      <c r="L608" s="18" t="n">
        <v>324</v>
      </c>
      <c r="M608" s="18" t="n">
        <v>337</v>
      </c>
      <c r="N608" s="18" t="n">
        <v>334</v>
      </c>
      <c r="O608" s="18" t="n">
        <v>285</v>
      </c>
      <c r="P608" s="18" t="n">
        <v>294</v>
      </c>
      <c r="Q608" s="18" t="n">
        <v>33</v>
      </c>
      <c r="R608" s="18" t="n">
        <v>33</v>
      </c>
      <c r="S608" s="18" t="n">
        <v>34</v>
      </c>
      <c r="T608" s="18" t="n">
        <v>34</v>
      </c>
      <c r="U608" s="18" t="n">
        <v>29</v>
      </c>
      <c r="V608" s="18" t="n">
        <v>30</v>
      </c>
      <c r="W608" s="20" t="n"/>
      <c r="X608" s="20" t="n"/>
      <c r="Y608" s="20" t="n"/>
      <c r="Z608" s="20" t="n"/>
      <c r="AA608" s="20" t="n"/>
      <c r="AB608" s="20" t="n"/>
      <c r="AC608" s="21">
        <f>IF(W608="","",W608-K608)</f>
        <v/>
      </c>
      <c r="AD608" s="21">
        <f>IF(X608="","",X608-L608)</f>
        <v/>
      </c>
      <c r="AE608" s="21">
        <f>IF(Y608="","",Y608-M608)</f>
        <v/>
      </c>
      <c r="AF608" s="21">
        <f>IF(Z608="","",Z608-N608)</f>
        <v/>
      </c>
      <c r="AG608" s="21">
        <f>IF(AA608="","",AA608-O608)</f>
        <v/>
      </c>
      <c r="AH608" s="21">
        <f>IF(AB608="","",AB608-P608)</f>
        <v/>
      </c>
      <c r="AI608" s="18">
        <f>IF(COUNTA(W608:AB608)=0,"未入力",IF(COUNTA(W608:AB608)&lt;6,"一部入力",IF(COUNTIF(AC608:AH608,0)=6,"一致","差分あり")))</f>
        <v/>
      </c>
      <c r="AJ6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8" s="19" t="inlineStr"/>
      <c r="AL608" s="18" t="inlineStr">
        <is>
          <t>2026-06-29</t>
        </is>
      </c>
    </row>
    <row r="609" ht="22" customHeight="1">
      <c r="A609" s="17" t="inlineStr">
        <is>
          <t>1008102-LB0</t>
        </is>
      </c>
      <c r="B609" s="18" t="n">
        <v>1008102</v>
      </c>
      <c r="C609" s="17" t="inlineStr">
        <is>
          <t>CReaper02</t>
        </is>
      </c>
      <c r="D609" s="17" t="inlineStr">
        <is>
          <t>CReaper</t>
        </is>
      </c>
      <c r="E609" s="17" t="inlineStr">
        <is>
          <t>キャロル・リーパー</t>
        </is>
      </c>
      <c r="F609" s="19" t="inlineStr">
        <is>
          <t>心の風景</t>
        </is>
      </c>
      <c r="G609" s="18" t="inlineStr">
        <is>
          <t>S</t>
        </is>
      </c>
      <c r="H609" s="17" t="inlineStr">
        <is>
          <t>Attacker</t>
        </is>
      </c>
      <c r="I609" s="18" t="n">
        <v>0</v>
      </c>
      <c r="J609" s="18" t="n">
        <v>10</v>
      </c>
      <c r="K609" s="18" t="n">
        <v>311</v>
      </c>
      <c r="L609" s="18" t="n">
        <v>348</v>
      </c>
      <c r="M609" s="18" t="n">
        <v>320</v>
      </c>
      <c r="N609" s="18" t="n">
        <v>306</v>
      </c>
      <c r="O609" s="18" t="n">
        <v>344</v>
      </c>
      <c r="P609" s="18" t="n">
        <v>321</v>
      </c>
      <c r="Q609" s="18" t="n">
        <v>32</v>
      </c>
      <c r="R609" s="18" t="n">
        <v>35</v>
      </c>
      <c r="S609" s="18" t="n">
        <v>32</v>
      </c>
      <c r="T609" s="18" t="n">
        <v>31</v>
      </c>
      <c r="U609" s="18" t="n">
        <v>35</v>
      </c>
      <c r="V609" s="18" t="n">
        <v>33</v>
      </c>
      <c r="W609" s="20" t="n"/>
      <c r="X609" s="20" t="n"/>
      <c r="Y609" s="20" t="n"/>
      <c r="Z609" s="20" t="n"/>
      <c r="AA609" s="20" t="n"/>
      <c r="AB609" s="20" t="n"/>
      <c r="AC609" s="21">
        <f>IF(W609="","",W609-K609)</f>
        <v/>
      </c>
      <c r="AD609" s="21">
        <f>IF(X609="","",X609-L609)</f>
        <v/>
      </c>
      <c r="AE609" s="21">
        <f>IF(Y609="","",Y609-M609)</f>
        <v/>
      </c>
      <c r="AF609" s="21">
        <f>IF(Z609="","",Z609-N609)</f>
        <v/>
      </c>
      <c r="AG609" s="21">
        <f>IF(AA609="","",AA609-O609)</f>
        <v/>
      </c>
      <c r="AH609" s="21">
        <f>IF(AB609="","",AB609-P609)</f>
        <v/>
      </c>
      <c r="AI609" s="18">
        <f>IF(COUNTA(W609:AB609)=0,"未入力",IF(COUNTA(W609:AB609)&lt;6,"一部入力",IF(COUNTIF(AC609:AH609,0)=6,"一致","差分あり")))</f>
        <v/>
      </c>
      <c r="AJ6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09" s="19" t="inlineStr"/>
      <c r="AL609" s="18" t="inlineStr">
        <is>
          <t>2026-06-29</t>
        </is>
      </c>
    </row>
    <row r="610" ht="22" customHeight="1">
      <c r="A610" s="17" t="inlineStr">
        <is>
          <t>1008102-LB10</t>
        </is>
      </c>
      <c r="B610" s="18" t="n">
        <v>1008102</v>
      </c>
      <c r="C610" s="17" t="inlineStr">
        <is>
          <t>CReaper02</t>
        </is>
      </c>
      <c r="D610" s="17" t="inlineStr">
        <is>
          <t>CReaper</t>
        </is>
      </c>
      <c r="E610" s="17" t="inlineStr">
        <is>
          <t>キャロル・リーパー</t>
        </is>
      </c>
      <c r="F610" s="19" t="inlineStr">
        <is>
          <t>心の風景</t>
        </is>
      </c>
      <c r="G610" s="18" t="inlineStr">
        <is>
          <t>S</t>
        </is>
      </c>
      <c r="H610" s="17" t="inlineStr">
        <is>
          <t>Attacker</t>
        </is>
      </c>
      <c r="I610" s="18" t="n">
        <v>10</v>
      </c>
      <c r="J610" s="18" t="n">
        <v>10</v>
      </c>
      <c r="K610" s="18" t="n">
        <v>378</v>
      </c>
      <c r="L610" s="18" t="n">
        <v>417</v>
      </c>
      <c r="M610" s="18" t="n">
        <v>386</v>
      </c>
      <c r="N610" s="18" t="n">
        <v>372</v>
      </c>
      <c r="O610" s="18" t="n">
        <v>408</v>
      </c>
      <c r="P610" s="18" t="n">
        <v>388</v>
      </c>
      <c r="Q610" s="18" t="n">
        <v>38</v>
      </c>
      <c r="R610" s="18" t="n">
        <v>42</v>
      </c>
      <c r="S610" s="18" t="n">
        <v>39</v>
      </c>
      <c r="T610" s="18" t="n">
        <v>38</v>
      </c>
      <c r="U610" s="18" t="n">
        <v>41</v>
      </c>
      <c r="V610" s="18" t="n">
        <v>39</v>
      </c>
      <c r="W610" s="20" t="n"/>
      <c r="X610" s="20" t="n"/>
      <c r="Y610" s="20" t="n"/>
      <c r="Z610" s="20" t="n"/>
      <c r="AA610" s="20" t="n"/>
      <c r="AB610" s="20" t="n"/>
      <c r="AC610" s="21">
        <f>IF(W610="","",W610-K610)</f>
        <v/>
      </c>
      <c r="AD610" s="21">
        <f>IF(X610="","",X610-L610)</f>
        <v/>
      </c>
      <c r="AE610" s="21">
        <f>IF(Y610="","",Y610-M610)</f>
        <v/>
      </c>
      <c r="AF610" s="21">
        <f>IF(Z610="","",Z610-N610)</f>
        <v/>
      </c>
      <c r="AG610" s="21">
        <f>IF(AA610="","",AA610-O610)</f>
        <v/>
      </c>
      <c r="AH610" s="21">
        <f>IF(AB610="","",AB610-P610)</f>
        <v/>
      </c>
      <c r="AI610" s="18">
        <f>IF(COUNTA(W610:AB610)=0,"未入力",IF(COUNTA(W610:AB610)&lt;6,"一部入力",IF(COUNTIF(AC610:AH610,0)=6,"一致","差分あり")))</f>
        <v/>
      </c>
      <c r="AJ6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0" s="19" t="inlineStr"/>
      <c r="AL610" s="18" t="inlineStr">
        <is>
          <t>2026-06-29</t>
        </is>
      </c>
    </row>
    <row r="611" ht="22" customHeight="1">
      <c r="A611" s="17" t="inlineStr">
        <is>
          <t>1008103-LB0</t>
        </is>
      </c>
      <c r="B611" s="18" t="n">
        <v>1008103</v>
      </c>
      <c r="C611" s="17" t="inlineStr">
        <is>
          <t>CReaper03</t>
        </is>
      </c>
      <c r="D611" s="17" t="inlineStr">
        <is>
          <t>CReaper</t>
        </is>
      </c>
      <c r="E611" s="17" t="inlineStr">
        <is>
          <t>キャロル・リーパー</t>
        </is>
      </c>
      <c r="F611" s="19" t="inlineStr">
        <is>
          <t>摩天楼のダークヒーロー</t>
        </is>
      </c>
      <c r="G611" s="18" t="inlineStr">
        <is>
          <t>SS</t>
        </is>
      </c>
      <c r="H611" s="17" t="inlineStr">
        <is>
          <t>Attacker</t>
        </is>
      </c>
      <c r="I611" s="18" t="n">
        <v>0</v>
      </c>
      <c r="J611" s="18" t="n">
        <v>4</v>
      </c>
      <c r="K611" s="18" t="n">
        <v>419</v>
      </c>
      <c r="L611" s="18" t="n">
        <v>343</v>
      </c>
      <c r="M611" s="18" t="n">
        <v>367</v>
      </c>
      <c r="N611" s="18" t="n">
        <v>377</v>
      </c>
      <c r="O611" s="18" t="n">
        <v>371</v>
      </c>
      <c r="P611" s="18" t="n">
        <v>395</v>
      </c>
      <c r="Q611" s="18" t="n">
        <v>42</v>
      </c>
      <c r="R611" s="18" t="n">
        <v>35</v>
      </c>
      <c r="S611" s="18" t="n">
        <v>37</v>
      </c>
      <c r="T611" s="18" t="n">
        <v>38</v>
      </c>
      <c r="U611" s="18" t="n">
        <v>38</v>
      </c>
      <c r="V611" s="18" t="n">
        <v>40</v>
      </c>
      <c r="W611" s="20" t="n"/>
      <c r="X611" s="20" t="n"/>
      <c r="Y611" s="20" t="n"/>
      <c r="Z611" s="20" t="n"/>
      <c r="AA611" s="20" t="n"/>
      <c r="AB611" s="20" t="n"/>
      <c r="AC611" s="21">
        <f>IF(W611="","",W611-K611)</f>
        <v/>
      </c>
      <c r="AD611" s="21">
        <f>IF(X611="","",X611-L611)</f>
        <v/>
      </c>
      <c r="AE611" s="21">
        <f>IF(Y611="","",Y611-M611)</f>
        <v/>
      </c>
      <c r="AF611" s="21">
        <f>IF(Z611="","",Z611-N611)</f>
        <v/>
      </c>
      <c r="AG611" s="21">
        <f>IF(AA611="","",AA611-O611)</f>
        <v/>
      </c>
      <c r="AH611" s="21">
        <f>IF(AB611="","",AB611-P611)</f>
        <v/>
      </c>
      <c r="AI611" s="18">
        <f>IF(COUNTA(W611:AB611)=0,"未入力",IF(COUNTA(W611:AB611)&lt;6,"一部入力",IF(COUNTIF(AC611:AH611,0)=6,"一致","差分あり")))</f>
        <v/>
      </c>
      <c r="AJ6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1" s="19" t="inlineStr"/>
      <c r="AL611" s="18" t="inlineStr">
        <is>
          <t>2026-06-29</t>
        </is>
      </c>
    </row>
    <row r="612" ht="22" customHeight="1">
      <c r="A612" s="17" t="inlineStr">
        <is>
          <t>1008103-LB4</t>
        </is>
      </c>
      <c r="B612" s="18" t="n">
        <v>1008103</v>
      </c>
      <c r="C612" s="17" t="inlineStr">
        <is>
          <t>CReaper03</t>
        </is>
      </c>
      <c r="D612" s="17" t="inlineStr">
        <is>
          <t>CReaper</t>
        </is>
      </c>
      <c r="E612" s="17" t="inlineStr">
        <is>
          <t>キャロル・リーパー</t>
        </is>
      </c>
      <c r="F612" s="19" t="inlineStr">
        <is>
          <t>摩天楼のダークヒーロー</t>
        </is>
      </c>
      <c r="G612" s="18" t="inlineStr">
        <is>
          <t>SS</t>
        </is>
      </c>
      <c r="H612" s="17" t="inlineStr">
        <is>
          <t>Attacker</t>
        </is>
      </c>
      <c r="I612" s="18" t="n">
        <v>4</v>
      </c>
      <c r="J612" s="18" t="n">
        <v>4</v>
      </c>
      <c r="K612" s="18" t="n">
        <v>508</v>
      </c>
      <c r="L612" s="18" t="n">
        <v>431</v>
      </c>
      <c r="M612" s="18" t="n">
        <v>455</v>
      </c>
      <c r="N612" s="18" t="n">
        <v>465</v>
      </c>
      <c r="O612" s="18" t="n">
        <v>457</v>
      </c>
      <c r="P612" s="18" t="n">
        <v>483</v>
      </c>
      <c r="Q612" s="18" t="n">
        <v>51</v>
      </c>
      <c r="R612" s="18" t="n">
        <v>44</v>
      </c>
      <c r="S612" s="18" t="n">
        <v>46</v>
      </c>
      <c r="T612" s="18" t="n">
        <v>47</v>
      </c>
      <c r="U612" s="18" t="n">
        <v>46</v>
      </c>
      <c r="V612" s="18" t="n">
        <v>49</v>
      </c>
      <c r="W612" s="20" t="n"/>
      <c r="X612" s="20" t="n"/>
      <c r="Y612" s="20" t="n"/>
      <c r="Z612" s="20" t="n"/>
      <c r="AA612" s="20" t="n"/>
      <c r="AB612" s="20" t="n"/>
      <c r="AC612" s="21">
        <f>IF(W612="","",W612-K612)</f>
        <v/>
      </c>
      <c r="AD612" s="21">
        <f>IF(X612="","",X612-L612)</f>
        <v/>
      </c>
      <c r="AE612" s="21">
        <f>IF(Y612="","",Y612-M612)</f>
        <v/>
      </c>
      <c r="AF612" s="21">
        <f>IF(Z612="","",Z612-N612)</f>
        <v/>
      </c>
      <c r="AG612" s="21">
        <f>IF(AA612="","",AA612-O612)</f>
        <v/>
      </c>
      <c r="AH612" s="21">
        <f>IF(AB612="","",AB612-P612)</f>
        <v/>
      </c>
      <c r="AI612" s="18">
        <f>IF(COUNTA(W612:AB612)=0,"未入力",IF(COUNTA(W612:AB612)&lt;6,"一部入力",IF(COUNTIF(AC612:AH612,0)=6,"一致","差分あり")))</f>
        <v/>
      </c>
      <c r="AJ6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2" s="19" t="inlineStr"/>
      <c r="AL612" s="18" t="inlineStr">
        <is>
          <t>2026-06-29</t>
        </is>
      </c>
    </row>
    <row r="613" ht="22" customHeight="1">
      <c r="A613" s="17" t="inlineStr">
        <is>
          <t>1008104-LB0</t>
        </is>
      </c>
      <c r="B613" s="18" t="n">
        <v>1008104</v>
      </c>
      <c r="C613" s="17" t="inlineStr">
        <is>
          <t>CReaper04</t>
        </is>
      </c>
      <c r="D613" s="17" t="inlineStr">
        <is>
          <t>CReaper</t>
        </is>
      </c>
      <c r="E613" s="17" t="inlineStr">
        <is>
          <t>キャロル・リーパー</t>
        </is>
      </c>
      <c r="F613" s="19" t="inlineStr">
        <is>
          <t>キャッスル・オブ・パープル</t>
        </is>
      </c>
      <c r="G613" s="18" t="inlineStr">
        <is>
          <t>S</t>
        </is>
      </c>
      <c r="H613" s="17" t="inlineStr">
        <is>
          <t>Breaker</t>
        </is>
      </c>
      <c r="I613" s="18" t="n">
        <v>0</v>
      </c>
      <c r="J613" s="18" t="n">
        <v>10</v>
      </c>
      <c r="K613" s="18" t="n">
        <v>311</v>
      </c>
      <c r="L613" s="18" t="n">
        <v>351</v>
      </c>
      <c r="M613" s="18" t="n">
        <v>320</v>
      </c>
      <c r="N613" s="18" t="n">
        <v>306</v>
      </c>
      <c r="O613" s="18" t="n">
        <v>344</v>
      </c>
      <c r="P613" s="18" t="n">
        <v>321</v>
      </c>
      <c r="Q613" s="18" t="n">
        <v>32</v>
      </c>
      <c r="R613" s="18" t="n">
        <v>36</v>
      </c>
      <c r="S613" s="18" t="n">
        <v>32</v>
      </c>
      <c r="T613" s="18" t="n">
        <v>31</v>
      </c>
      <c r="U613" s="18" t="n">
        <v>35</v>
      </c>
      <c r="V613" s="18" t="n">
        <v>33</v>
      </c>
      <c r="W613" s="20" t="n"/>
      <c r="X613" s="20" t="n"/>
      <c r="Y613" s="20" t="n"/>
      <c r="Z613" s="20" t="n"/>
      <c r="AA613" s="20" t="n"/>
      <c r="AB613" s="20" t="n"/>
      <c r="AC613" s="21">
        <f>IF(W613="","",W613-K613)</f>
        <v/>
      </c>
      <c r="AD613" s="21">
        <f>IF(X613="","",X613-L613)</f>
        <v/>
      </c>
      <c r="AE613" s="21">
        <f>IF(Y613="","",Y613-M613)</f>
        <v/>
      </c>
      <c r="AF613" s="21">
        <f>IF(Z613="","",Z613-N613)</f>
        <v/>
      </c>
      <c r="AG613" s="21">
        <f>IF(AA613="","",AA613-O613)</f>
        <v/>
      </c>
      <c r="AH613" s="21">
        <f>IF(AB613="","",AB613-P613)</f>
        <v/>
      </c>
      <c r="AI613" s="18">
        <f>IF(COUNTA(W613:AB613)=0,"未入力",IF(COUNTA(W613:AB613)&lt;6,"一部入力",IF(COUNTIF(AC613:AH613,0)=6,"一致","差分あり")))</f>
        <v/>
      </c>
      <c r="AJ6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3" s="19" t="inlineStr"/>
      <c r="AL613" s="18" t="inlineStr">
        <is>
          <t>2026-06-29</t>
        </is>
      </c>
    </row>
    <row r="614" ht="22" customHeight="1">
      <c r="A614" s="17" t="inlineStr">
        <is>
          <t>1008104-LB10</t>
        </is>
      </c>
      <c r="B614" s="18" t="n">
        <v>1008104</v>
      </c>
      <c r="C614" s="17" t="inlineStr">
        <is>
          <t>CReaper04</t>
        </is>
      </c>
      <c r="D614" s="17" t="inlineStr">
        <is>
          <t>CReaper</t>
        </is>
      </c>
      <c r="E614" s="17" t="inlineStr">
        <is>
          <t>キャロル・リーパー</t>
        </is>
      </c>
      <c r="F614" s="19" t="inlineStr">
        <is>
          <t>キャッスル・オブ・パープル</t>
        </is>
      </c>
      <c r="G614" s="18" t="inlineStr">
        <is>
          <t>S</t>
        </is>
      </c>
      <c r="H614" s="17" t="inlineStr">
        <is>
          <t>Breaker</t>
        </is>
      </c>
      <c r="I614" s="18" t="n">
        <v>10</v>
      </c>
      <c r="J614" s="18" t="n">
        <v>10</v>
      </c>
      <c r="K614" s="18" t="n">
        <v>378</v>
      </c>
      <c r="L614" s="18" t="n">
        <v>417</v>
      </c>
      <c r="M614" s="18" t="n">
        <v>386</v>
      </c>
      <c r="N614" s="18" t="n">
        <v>372</v>
      </c>
      <c r="O614" s="18" t="n">
        <v>408</v>
      </c>
      <c r="P614" s="18" t="n">
        <v>388</v>
      </c>
      <c r="Q614" s="18" t="n">
        <v>38</v>
      </c>
      <c r="R614" s="18" t="n">
        <v>42</v>
      </c>
      <c r="S614" s="18" t="n">
        <v>39</v>
      </c>
      <c r="T614" s="18" t="n">
        <v>38</v>
      </c>
      <c r="U614" s="18" t="n">
        <v>41</v>
      </c>
      <c r="V614" s="18" t="n">
        <v>39</v>
      </c>
      <c r="W614" s="20" t="n"/>
      <c r="X614" s="20" t="n"/>
      <c r="Y614" s="20" t="n"/>
      <c r="Z614" s="20" t="n"/>
      <c r="AA614" s="20" t="n"/>
      <c r="AB614" s="20" t="n"/>
      <c r="AC614" s="21">
        <f>IF(W614="","",W614-K614)</f>
        <v/>
      </c>
      <c r="AD614" s="21">
        <f>IF(X614="","",X614-L614)</f>
        <v/>
      </c>
      <c r="AE614" s="21">
        <f>IF(Y614="","",Y614-M614)</f>
        <v/>
      </c>
      <c r="AF614" s="21">
        <f>IF(Z614="","",Z614-N614)</f>
        <v/>
      </c>
      <c r="AG614" s="21">
        <f>IF(AA614="","",AA614-O614)</f>
        <v/>
      </c>
      <c r="AH614" s="21">
        <f>IF(AB614="","",AB614-P614)</f>
        <v/>
      </c>
      <c r="AI614" s="18">
        <f>IF(COUNTA(W614:AB614)=0,"未入力",IF(COUNTA(W614:AB614)&lt;6,"一部入力",IF(COUNTIF(AC614:AH614,0)=6,"一致","差分あり")))</f>
        <v/>
      </c>
      <c r="AJ6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4" s="19" t="inlineStr"/>
      <c r="AL614" s="18" t="inlineStr">
        <is>
          <t>2026-06-29</t>
        </is>
      </c>
    </row>
    <row r="615" ht="22" customHeight="1">
      <c r="A615" s="17" t="inlineStr">
        <is>
          <t>1008105-LB0</t>
        </is>
      </c>
      <c r="B615" s="18" t="n">
        <v>1008105</v>
      </c>
      <c r="C615" s="17" t="inlineStr">
        <is>
          <t>CReaper05</t>
        </is>
      </c>
      <c r="D615" s="17" t="inlineStr">
        <is>
          <t>CReaper</t>
        </is>
      </c>
      <c r="E615" s="17" t="inlineStr">
        <is>
          <t>キャロル・リーパー</t>
        </is>
      </c>
      <c r="F615" s="19" t="inlineStr">
        <is>
          <t>Carnival with You</t>
        </is>
      </c>
      <c r="G615" s="18" t="inlineStr">
        <is>
          <t>SS</t>
        </is>
      </c>
      <c r="H615" s="17" t="inlineStr">
        <is>
          <t>Healer</t>
        </is>
      </c>
      <c r="I615" s="18" t="n">
        <v>0</v>
      </c>
      <c r="J615" s="18" t="n">
        <v>4</v>
      </c>
      <c r="K615" s="18" t="n">
        <v>405</v>
      </c>
      <c r="L615" s="18" t="n">
        <v>400</v>
      </c>
      <c r="M615" s="18" t="n">
        <v>437</v>
      </c>
      <c r="N615" s="18" t="n">
        <v>412</v>
      </c>
      <c r="O615" s="18" t="n">
        <v>379</v>
      </c>
      <c r="P615" s="18" t="n">
        <v>368</v>
      </c>
      <c r="Q615" s="18" t="n">
        <v>41</v>
      </c>
      <c r="R615" s="18" t="n">
        <v>40</v>
      </c>
      <c r="S615" s="18" t="n">
        <v>44</v>
      </c>
      <c r="T615" s="18" t="n">
        <v>42</v>
      </c>
      <c r="U615" s="18" t="n">
        <v>38</v>
      </c>
      <c r="V615" s="18" t="n">
        <v>37</v>
      </c>
      <c r="W615" s="20" t="n"/>
      <c r="X615" s="20" t="n"/>
      <c r="Y615" s="20" t="n"/>
      <c r="Z615" s="20" t="n"/>
      <c r="AA615" s="20" t="n"/>
      <c r="AB615" s="20" t="n"/>
      <c r="AC615" s="21">
        <f>IF(W615="","",W615-K615)</f>
        <v/>
      </c>
      <c r="AD615" s="21">
        <f>IF(X615="","",X615-L615)</f>
        <v/>
      </c>
      <c r="AE615" s="21">
        <f>IF(Y615="","",Y615-M615)</f>
        <v/>
      </c>
      <c r="AF615" s="21">
        <f>IF(Z615="","",Z615-N615)</f>
        <v/>
      </c>
      <c r="AG615" s="21">
        <f>IF(AA615="","",AA615-O615)</f>
        <v/>
      </c>
      <c r="AH615" s="21">
        <f>IF(AB615="","",AB615-P615)</f>
        <v/>
      </c>
      <c r="AI615" s="18">
        <f>IF(COUNTA(W615:AB615)=0,"未入力",IF(COUNTA(W615:AB615)&lt;6,"一部入力",IF(COUNTIF(AC615:AH615,0)=6,"一致","差分あり")))</f>
        <v/>
      </c>
      <c r="AJ6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5" s="19" t="inlineStr"/>
      <c r="AL615" s="18" t="inlineStr">
        <is>
          <t>2026-06-29</t>
        </is>
      </c>
    </row>
    <row r="616" ht="22" customHeight="1">
      <c r="A616" s="17" t="inlineStr">
        <is>
          <t>1008105-LB4</t>
        </is>
      </c>
      <c r="B616" s="18" t="n">
        <v>1008105</v>
      </c>
      <c r="C616" s="17" t="inlineStr">
        <is>
          <t>CReaper05</t>
        </is>
      </c>
      <c r="D616" s="17" t="inlineStr">
        <is>
          <t>CReaper</t>
        </is>
      </c>
      <c r="E616" s="17" t="inlineStr">
        <is>
          <t>キャロル・リーパー</t>
        </is>
      </c>
      <c r="F616" s="19" t="inlineStr">
        <is>
          <t>Carnival with You</t>
        </is>
      </c>
      <c r="G616" s="18" t="inlineStr">
        <is>
          <t>SS</t>
        </is>
      </c>
      <c r="H616" s="17" t="inlineStr">
        <is>
          <t>Healer</t>
        </is>
      </c>
      <c r="I616" s="18" t="n">
        <v>4</v>
      </c>
      <c r="J616" s="18" t="n">
        <v>4</v>
      </c>
      <c r="K616" s="18" t="n">
        <v>495</v>
      </c>
      <c r="L616" s="18" t="n">
        <v>488</v>
      </c>
      <c r="M616" s="18" t="n">
        <v>526</v>
      </c>
      <c r="N616" s="18" t="n">
        <v>499</v>
      </c>
      <c r="O616" s="18" t="n">
        <v>465</v>
      </c>
      <c r="P616" s="18" t="n">
        <v>457</v>
      </c>
      <c r="Q616" s="18" t="n">
        <v>50</v>
      </c>
      <c r="R616" s="18" t="n">
        <v>49</v>
      </c>
      <c r="S616" s="18" t="n">
        <v>53</v>
      </c>
      <c r="T616" s="18" t="n">
        <v>50</v>
      </c>
      <c r="U616" s="18" t="n">
        <v>47</v>
      </c>
      <c r="V616" s="18" t="n">
        <v>46</v>
      </c>
      <c r="W616" s="20" t="n"/>
      <c r="X616" s="20" t="n"/>
      <c r="Y616" s="20" t="n"/>
      <c r="Z616" s="20" t="n"/>
      <c r="AA616" s="20" t="n"/>
      <c r="AB616" s="20" t="n"/>
      <c r="AC616" s="21">
        <f>IF(W616="","",W616-K616)</f>
        <v/>
      </c>
      <c r="AD616" s="21">
        <f>IF(X616="","",X616-L616)</f>
        <v/>
      </c>
      <c r="AE616" s="21">
        <f>IF(Y616="","",Y616-M616)</f>
        <v/>
      </c>
      <c r="AF616" s="21">
        <f>IF(Z616="","",Z616-N616)</f>
        <v/>
      </c>
      <c r="AG616" s="21">
        <f>IF(AA616="","",AA616-O616)</f>
        <v/>
      </c>
      <c r="AH616" s="21">
        <f>IF(AB616="","",AB616-P616)</f>
        <v/>
      </c>
      <c r="AI616" s="18">
        <f>IF(COUNTA(W616:AB616)=0,"未入力",IF(COUNTA(W616:AB616)&lt;6,"一部入力",IF(COUNTIF(AC616:AH616,0)=6,"一致","差分あり")))</f>
        <v/>
      </c>
      <c r="AJ6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6" s="19" t="inlineStr"/>
      <c r="AL616" s="18" t="inlineStr">
        <is>
          <t>2026-06-29</t>
        </is>
      </c>
    </row>
    <row r="617" ht="22" customHeight="1">
      <c r="A617" s="17" t="inlineStr">
        <is>
          <t>1008106-LB0</t>
        </is>
      </c>
      <c r="B617" s="18" t="n">
        <v>1008106</v>
      </c>
      <c r="C617" s="17" t="inlineStr">
        <is>
          <t>CReaper06</t>
        </is>
      </c>
      <c r="D617" s="17" t="inlineStr">
        <is>
          <t>CReaper</t>
        </is>
      </c>
      <c r="E617" s="17" t="inlineStr">
        <is>
          <t>キャロル・リーパー</t>
        </is>
      </c>
      <c r="F617" s="19" t="inlineStr">
        <is>
          <t>Have no fear! I'm a hero!</t>
        </is>
      </c>
      <c r="G617" s="18" t="inlineStr">
        <is>
          <t>SSR</t>
        </is>
      </c>
      <c r="H617" s="17" t="inlineStr">
        <is>
          <t>Attacker</t>
        </is>
      </c>
      <c r="I617" s="18" t="n">
        <v>0</v>
      </c>
      <c r="J617" s="18" t="n">
        <v>4</v>
      </c>
      <c r="K617" s="18" t="n">
        <v>441</v>
      </c>
      <c r="L617" s="18" t="n">
        <v>365</v>
      </c>
      <c r="M617" s="18" t="n">
        <v>389</v>
      </c>
      <c r="N617" s="18" t="n">
        <v>399</v>
      </c>
      <c r="O617" s="18" t="n">
        <v>392</v>
      </c>
      <c r="P617" s="18" t="n">
        <v>417</v>
      </c>
      <c r="Q617" s="18" t="n">
        <v>45</v>
      </c>
      <c r="R617" s="18" t="n">
        <v>37</v>
      </c>
      <c r="S617" s="18" t="n">
        <v>39</v>
      </c>
      <c r="T617" s="18" t="n">
        <v>40</v>
      </c>
      <c r="U617" s="18" t="n">
        <v>40</v>
      </c>
      <c r="V617" s="18" t="n">
        <v>42</v>
      </c>
      <c r="W617" s="20" t="n"/>
      <c r="X617" s="20" t="n"/>
      <c r="Y617" s="20" t="n"/>
      <c r="Z617" s="20" t="n"/>
      <c r="AA617" s="20" t="n"/>
      <c r="AB617" s="20" t="n"/>
      <c r="AC617" s="21">
        <f>IF(W617="","",W617-K617)</f>
        <v/>
      </c>
      <c r="AD617" s="21">
        <f>IF(X617="","",X617-L617)</f>
        <v/>
      </c>
      <c r="AE617" s="21">
        <f>IF(Y617="","",Y617-M617)</f>
        <v/>
      </c>
      <c r="AF617" s="21">
        <f>IF(Z617="","",Z617-N617)</f>
        <v/>
      </c>
      <c r="AG617" s="21">
        <f>IF(AA617="","",AA617-O617)</f>
        <v/>
      </c>
      <c r="AH617" s="21">
        <f>IF(AB617="","",AB617-P617)</f>
        <v/>
      </c>
      <c r="AI617" s="18">
        <f>IF(COUNTA(W617:AB617)=0,"未入力",IF(COUNTA(W617:AB617)&lt;6,"一部入力",IF(COUNTIF(AC617:AH617,0)=6,"一致","差分あり")))</f>
        <v/>
      </c>
      <c r="AJ6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7" s="19" t="inlineStr"/>
      <c r="AL617" s="18" t="inlineStr">
        <is>
          <t>2026-06-29</t>
        </is>
      </c>
    </row>
    <row r="618" ht="22" customHeight="1">
      <c r="A618" s="17" t="inlineStr">
        <is>
          <t>1008106-LB4</t>
        </is>
      </c>
      <c r="B618" s="18" t="n">
        <v>1008106</v>
      </c>
      <c r="C618" s="17" t="inlineStr">
        <is>
          <t>CReaper06</t>
        </is>
      </c>
      <c r="D618" s="17" t="inlineStr">
        <is>
          <t>CReaper</t>
        </is>
      </c>
      <c r="E618" s="17" t="inlineStr">
        <is>
          <t>キャロル・リーパー</t>
        </is>
      </c>
      <c r="F618" s="19" t="inlineStr">
        <is>
          <t>Have no fear! I'm a hero!</t>
        </is>
      </c>
      <c r="G618" s="18" t="inlineStr">
        <is>
          <t>SSR</t>
        </is>
      </c>
      <c r="H618" s="17" t="inlineStr">
        <is>
          <t>Attacker</t>
        </is>
      </c>
      <c r="I618" s="18" t="n">
        <v>4</v>
      </c>
      <c r="J618" s="18" t="n">
        <v>4</v>
      </c>
      <c r="K618" s="18" t="n">
        <v>530</v>
      </c>
      <c r="L618" s="18" t="n">
        <v>453</v>
      </c>
      <c r="M618" s="18" t="n">
        <v>477</v>
      </c>
      <c r="N618" s="18" t="n">
        <v>486</v>
      </c>
      <c r="O618" s="18" t="n">
        <v>478</v>
      </c>
      <c r="P618" s="18" t="n">
        <v>506</v>
      </c>
      <c r="Q618" s="18" t="n">
        <v>53</v>
      </c>
      <c r="R618" s="18" t="n">
        <v>46</v>
      </c>
      <c r="S618" s="18" t="n">
        <v>48</v>
      </c>
      <c r="T618" s="18" t="n">
        <v>49</v>
      </c>
      <c r="U618" s="18" t="n">
        <v>48</v>
      </c>
      <c r="V618" s="18" t="n">
        <v>51</v>
      </c>
      <c r="W618" s="20" t="n"/>
      <c r="X618" s="20" t="n"/>
      <c r="Y618" s="20" t="n"/>
      <c r="Z618" s="20" t="n"/>
      <c r="AA618" s="20" t="n"/>
      <c r="AB618" s="20" t="n"/>
      <c r="AC618" s="21">
        <f>IF(W618="","",W618-K618)</f>
        <v/>
      </c>
      <c r="AD618" s="21">
        <f>IF(X618="","",X618-L618)</f>
        <v/>
      </c>
      <c r="AE618" s="21">
        <f>IF(Y618="","",Y618-M618)</f>
        <v/>
      </c>
      <c r="AF618" s="21">
        <f>IF(Z618="","",Z618-N618)</f>
        <v/>
      </c>
      <c r="AG618" s="21">
        <f>IF(AA618="","",AA618-O618)</f>
        <v/>
      </c>
      <c r="AH618" s="21">
        <f>IF(AB618="","",AB618-P618)</f>
        <v/>
      </c>
      <c r="AI618" s="18">
        <f>IF(COUNTA(W618:AB618)=0,"未入力",IF(COUNTA(W618:AB618)&lt;6,"一部入力",IF(COUNTIF(AC618:AH618,0)=6,"一致","差分あり")))</f>
        <v/>
      </c>
      <c r="AJ6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8" s="19" t="inlineStr"/>
      <c r="AL618" s="18" t="inlineStr">
        <is>
          <t>2026-06-29</t>
        </is>
      </c>
    </row>
    <row r="619" ht="22" customHeight="1">
      <c r="A619" s="17" t="inlineStr">
        <is>
          <t>1008107-LB0</t>
        </is>
      </c>
      <c r="B619" s="18" t="n">
        <v>1008107</v>
      </c>
      <c r="C619" s="17" t="inlineStr">
        <is>
          <t>CReaper07</t>
        </is>
      </c>
      <c r="D619" s="17" t="inlineStr">
        <is>
          <t>CReaper</t>
        </is>
      </c>
      <c r="E619" s="17" t="inlineStr">
        <is>
          <t>キャロル・リーパー</t>
        </is>
      </c>
      <c r="F619" s="19" t="inlineStr">
        <is>
          <t>A Taste of Victory!</t>
        </is>
      </c>
      <c r="G619" s="18" t="inlineStr">
        <is>
          <t>SS</t>
        </is>
      </c>
      <c r="H619" s="17" t="inlineStr">
        <is>
          <t>Healer</t>
        </is>
      </c>
      <c r="I619" s="18" t="n">
        <v>0</v>
      </c>
      <c r="J619" s="18" t="n">
        <v>4</v>
      </c>
      <c r="K619" s="18" t="n">
        <v>405</v>
      </c>
      <c r="L619" s="18" t="n">
        <v>400</v>
      </c>
      <c r="M619" s="18" t="n">
        <v>437</v>
      </c>
      <c r="N619" s="18" t="n">
        <v>412</v>
      </c>
      <c r="O619" s="18" t="n">
        <v>379</v>
      </c>
      <c r="P619" s="18" t="n">
        <v>368</v>
      </c>
      <c r="Q619" s="18" t="n">
        <v>41</v>
      </c>
      <c r="R619" s="18" t="n">
        <v>40</v>
      </c>
      <c r="S619" s="18" t="n">
        <v>44</v>
      </c>
      <c r="T619" s="18" t="n">
        <v>42</v>
      </c>
      <c r="U619" s="18" t="n">
        <v>38</v>
      </c>
      <c r="V619" s="18" t="n">
        <v>37</v>
      </c>
      <c r="W619" s="20" t="n"/>
      <c r="X619" s="20" t="n"/>
      <c r="Y619" s="20" t="n"/>
      <c r="Z619" s="20" t="n"/>
      <c r="AA619" s="20" t="n"/>
      <c r="AB619" s="20" t="n"/>
      <c r="AC619" s="21">
        <f>IF(W619="","",W619-K619)</f>
        <v/>
      </c>
      <c r="AD619" s="21">
        <f>IF(X619="","",X619-L619)</f>
        <v/>
      </c>
      <c r="AE619" s="21">
        <f>IF(Y619="","",Y619-M619)</f>
        <v/>
      </c>
      <c r="AF619" s="21">
        <f>IF(Z619="","",Z619-N619)</f>
        <v/>
      </c>
      <c r="AG619" s="21">
        <f>IF(AA619="","",AA619-O619)</f>
        <v/>
      </c>
      <c r="AH619" s="21">
        <f>IF(AB619="","",AB619-P619)</f>
        <v/>
      </c>
      <c r="AI619" s="18">
        <f>IF(COUNTA(W619:AB619)=0,"未入力",IF(COUNTA(W619:AB619)&lt;6,"一部入力",IF(COUNTIF(AC619:AH619,0)=6,"一致","差分あり")))</f>
        <v/>
      </c>
      <c r="AJ6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19" s="19" t="inlineStr"/>
      <c r="AL619" s="18" t="inlineStr">
        <is>
          <t>2026-06-29</t>
        </is>
      </c>
    </row>
    <row r="620" ht="22" customHeight="1">
      <c r="A620" s="17" t="inlineStr">
        <is>
          <t>1008107-LB4</t>
        </is>
      </c>
      <c r="B620" s="18" t="n">
        <v>1008107</v>
      </c>
      <c r="C620" s="17" t="inlineStr">
        <is>
          <t>CReaper07</t>
        </is>
      </c>
      <c r="D620" s="17" t="inlineStr">
        <is>
          <t>CReaper</t>
        </is>
      </c>
      <c r="E620" s="17" t="inlineStr">
        <is>
          <t>キャロル・リーパー</t>
        </is>
      </c>
      <c r="F620" s="19" t="inlineStr">
        <is>
          <t>A Taste of Victory!</t>
        </is>
      </c>
      <c r="G620" s="18" t="inlineStr">
        <is>
          <t>SS</t>
        </is>
      </c>
      <c r="H620" s="17" t="inlineStr">
        <is>
          <t>Healer</t>
        </is>
      </c>
      <c r="I620" s="18" t="n">
        <v>4</v>
      </c>
      <c r="J620" s="18" t="n">
        <v>4</v>
      </c>
      <c r="K620" s="18" t="n">
        <v>495</v>
      </c>
      <c r="L620" s="18" t="n">
        <v>488</v>
      </c>
      <c r="M620" s="18" t="n">
        <v>526</v>
      </c>
      <c r="N620" s="18" t="n">
        <v>499</v>
      </c>
      <c r="O620" s="18" t="n">
        <v>465</v>
      </c>
      <c r="P620" s="18" t="n">
        <v>457</v>
      </c>
      <c r="Q620" s="18" t="n">
        <v>50</v>
      </c>
      <c r="R620" s="18" t="n">
        <v>49</v>
      </c>
      <c r="S620" s="18" t="n">
        <v>53</v>
      </c>
      <c r="T620" s="18" t="n">
        <v>50</v>
      </c>
      <c r="U620" s="18" t="n">
        <v>47</v>
      </c>
      <c r="V620" s="18" t="n">
        <v>46</v>
      </c>
      <c r="W620" s="20" t="n"/>
      <c r="X620" s="20" t="n"/>
      <c r="Y620" s="20" t="n"/>
      <c r="Z620" s="20" t="n"/>
      <c r="AA620" s="20" t="n"/>
      <c r="AB620" s="20" t="n"/>
      <c r="AC620" s="21">
        <f>IF(W620="","",W620-K620)</f>
        <v/>
      </c>
      <c r="AD620" s="21">
        <f>IF(X620="","",X620-L620)</f>
        <v/>
      </c>
      <c r="AE620" s="21">
        <f>IF(Y620="","",Y620-M620)</f>
        <v/>
      </c>
      <c r="AF620" s="21">
        <f>IF(Z620="","",Z620-N620)</f>
        <v/>
      </c>
      <c r="AG620" s="21">
        <f>IF(AA620="","",AA620-O620)</f>
        <v/>
      </c>
      <c r="AH620" s="21">
        <f>IF(AB620="","",AB620-P620)</f>
        <v/>
      </c>
      <c r="AI620" s="18">
        <f>IF(COUNTA(W620:AB620)=0,"未入力",IF(COUNTA(W620:AB620)&lt;6,"一部入力",IF(COUNTIF(AC620:AH620,0)=6,"一致","差分あり")))</f>
        <v/>
      </c>
      <c r="AJ6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0" s="19" t="inlineStr"/>
      <c r="AL620" s="18" t="inlineStr">
        <is>
          <t>2026-06-29</t>
        </is>
      </c>
    </row>
    <row r="621" ht="22" customHeight="1">
      <c r="A621" s="17" t="inlineStr">
        <is>
          <t>1008201-LB0</t>
        </is>
      </c>
      <c r="B621" s="18" t="n">
        <v>1008201</v>
      </c>
      <c r="C621" s="17" t="inlineStr">
        <is>
          <t>LShanhua01</t>
        </is>
      </c>
      <c r="D621" s="17" t="inlineStr">
        <is>
          <t>LShanhua</t>
        </is>
      </c>
      <c r="E621" s="17" t="inlineStr">
        <is>
          <t>李 映夏</t>
        </is>
      </c>
      <c r="F621" s="19" t="inlineStr">
        <is>
          <t>臥龍の代弁者</t>
        </is>
      </c>
      <c r="G621" s="18" t="inlineStr">
        <is>
          <t>A</t>
        </is>
      </c>
      <c r="H621" s="17" t="inlineStr">
        <is>
          <t>Buffer</t>
        </is>
      </c>
      <c r="I621" s="18" t="n">
        <v>0</v>
      </c>
      <c r="J621" s="18" t="n">
        <v>20</v>
      </c>
      <c r="K621" s="18" t="n">
        <v>286</v>
      </c>
      <c r="L621" s="18" t="n">
        <v>239</v>
      </c>
      <c r="M621" s="18" t="n">
        <v>267</v>
      </c>
      <c r="N621" s="18" t="n">
        <v>292</v>
      </c>
      <c r="O621" s="18" t="n">
        <v>272</v>
      </c>
      <c r="P621" s="18" t="n">
        <v>286</v>
      </c>
      <c r="Q621" s="18" t="n">
        <v>29</v>
      </c>
      <c r="R621" s="18" t="n">
        <v>24</v>
      </c>
      <c r="S621" s="18" t="n">
        <v>27</v>
      </c>
      <c r="T621" s="18" t="n">
        <v>30</v>
      </c>
      <c r="U621" s="18" t="n">
        <v>28</v>
      </c>
      <c r="V621" s="18" t="n">
        <v>29</v>
      </c>
      <c r="W621" s="20" t="n"/>
      <c r="X621" s="20" t="n"/>
      <c r="Y621" s="20" t="n"/>
      <c r="Z621" s="20" t="n"/>
      <c r="AA621" s="20" t="n"/>
      <c r="AB621" s="20" t="n"/>
      <c r="AC621" s="21">
        <f>IF(W621="","",W621-K621)</f>
        <v/>
      </c>
      <c r="AD621" s="21">
        <f>IF(X621="","",X621-L621)</f>
        <v/>
      </c>
      <c r="AE621" s="21">
        <f>IF(Y621="","",Y621-M621)</f>
        <v/>
      </c>
      <c r="AF621" s="21">
        <f>IF(Z621="","",Z621-N621)</f>
        <v/>
      </c>
      <c r="AG621" s="21">
        <f>IF(AA621="","",AA621-O621)</f>
        <v/>
      </c>
      <c r="AH621" s="21">
        <f>IF(AB621="","",AB621-P621)</f>
        <v/>
      </c>
      <c r="AI621" s="18">
        <f>IF(COUNTA(W621:AB621)=0,"未入力",IF(COUNTA(W621:AB621)&lt;6,"一部入力",IF(COUNTIF(AC621:AH621,0)=6,"一致","差分あり")))</f>
        <v/>
      </c>
      <c r="AJ6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1" s="19" t="inlineStr"/>
      <c r="AL621" s="18" t="inlineStr">
        <is>
          <t>2026-06-29</t>
        </is>
      </c>
    </row>
    <row r="622" ht="22" customHeight="1">
      <c r="A622" s="17" t="inlineStr">
        <is>
          <t>1008201-LB20</t>
        </is>
      </c>
      <c r="B622" s="18" t="n">
        <v>1008201</v>
      </c>
      <c r="C622" s="17" t="inlineStr">
        <is>
          <t>LShanhua01</t>
        </is>
      </c>
      <c r="D622" s="17" t="inlineStr">
        <is>
          <t>LShanhua</t>
        </is>
      </c>
      <c r="E622" s="17" t="inlineStr">
        <is>
          <t>李 映夏</t>
        </is>
      </c>
      <c r="F622" s="19" t="inlineStr">
        <is>
          <t>臥龍の代弁者</t>
        </is>
      </c>
      <c r="G622" s="18" t="inlineStr">
        <is>
          <t>A</t>
        </is>
      </c>
      <c r="H622" s="17" t="inlineStr">
        <is>
          <t>Buffer</t>
        </is>
      </c>
      <c r="I622" s="18" t="n">
        <v>20</v>
      </c>
      <c r="J622" s="18" t="n">
        <v>20</v>
      </c>
      <c r="K622" s="18" t="n">
        <v>331</v>
      </c>
      <c r="L622" s="18" t="n">
        <v>281</v>
      </c>
      <c r="M622" s="18" t="n">
        <v>315</v>
      </c>
      <c r="N622" s="18" t="n">
        <v>338</v>
      </c>
      <c r="O622" s="18" t="n">
        <v>314</v>
      </c>
      <c r="P622" s="18" t="n">
        <v>329</v>
      </c>
      <c r="Q622" s="18" t="n">
        <v>34</v>
      </c>
      <c r="R622" s="18" t="n">
        <v>29</v>
      </c>
      <c r="S622" s="18" t="n">
        <v>32</v>
      </c>
      <c r="T622" s="18" t="n">
        <v>34</v>
      </c>
      <c r="U622" s="18" t="n">
        <v>32</v>
      </c>
      <c r="V622" s="18" t="n">
        <v>33</v>
      </c>
      <c r="W622" s="20" t="n"/>
      <c r="X622" s="20" t="n"/>
      <c r="Y622" s="20" t="n"/>
      <c r="Z622" s="20" t="n"/>
      <c r="AA622" s="20" t="n"/>
      <c r="AB622" s="20" t="n"/>
      <c r="AC622" s="21">
        <f>IF(W622="","",W622-K622)</f>
        <v/>
      </c>
      <c r="AD622" s="21">
        <f>IF(X622="","",X622-L622)</f>
        <v/>
      </c>
      <c r="AE622" s="21">
        <f>IF(Y622="","",Y622-M622)</f>
        <v/>
      </c>
      <c r="AF622" s="21">
        <f>IF(Z622="","",Z622-N622)</f>
        <v/>
      </c>
      <c r="AG622" s="21">
        <f>IF(AA622="","",AA622-O622)</f>
        <v/>
      </c>
      <c r="AH622" s="21">
        <f>IF(AB622="","",AB622-P622)</f>
        <v/>
      </c>
      <c r="AI622" s="18">
        <f>IF(COUNTA(W622:AB622)=0,"未入力",IF(COUNTA(W622:AB622)&lt;6,"一部入力",IF(COUNTIF(AC622:AH622,0)=6,"一致","差分あり")))</f>
        <v/>
      </c>
      <c r="AJ6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2" s="19" t="inlineStr"/>
      <c r="AL622" s="18" t="inlineStr">
        <is>
          <t>2026-06-29</t>
        </is>
      </c>
    </row>
    <row r="623" ht="22" customHeight="1">
      <c r="A623" s="17" t="inlineStr">
        <is>
          <t>1008202-LB0</t>
        </is>
      </c>
      <c r="B623" s="18" t="n">
        <v>1008202</v>
      </c>
      <c r="C623" s="17" t="inlineStr">
        <is>
          <t>LShanhua02</t>
        </is>
      </c>
      <c r="D623" s="17" t="inlineStr">
        <is>
          <t>LShanhua</t>
        </is>
      </c>
      <c r="E623" s="17" t="inlineStr">
        <is>
          <t>李 映夏</t>
        </is>
      </c>
      <c r="F623" s="19" t="inlineStr">
        <is>
          <t>武を成すは天に在り</t>
        </is>
      </c>
      <c r="G623" s="18" t="inlineStr">
        <is>
          <t>S</t>
        </is>
      </c>
      <c r="H623" s="17" t="inlineStr">
        <is>
          <t>Buffer</t>
        </is>
      </c>
      <c r="I623" s="18" t="n">
        <v>0</v>
      </c>
      <c r="J623" s="18" t="n">
        <v>10</v>
      </c>
      <c r="K623" s="18" t="n">
        <v>314</v>
      </c>
      <c r="L623" s="18" t="n">
        <v>308</v>
      </c>
      <c r="M623" s="18" t="n">
        <v>375</v>
      </c>
      <c r="N623" s="18" t="n">
        <v>365</v>
      </c>
      <c r="O623" s="18" t="n">
        <v>298</v>
      </c>
      <c r="P623" s="18" t="n">
        <v>302</v>
      </c>
      <c r="Q623" s="18" t="n">
        <v>32</v>
      </c>
      <c r="R623" s="18" t="n">
        <v>31</v>
      </c>
      <c r="S623" s="18" t="n">
        <v>38</v>
      </c>
      <c r="T623" s="18" t="n">
        <v>37</v>
      </c>
      <c r="U623" s="18" t="n">
        <v>30</v>
      </c>
      <c r="V623" s="18" t="n">
        <v>31</v>
      </c>
      <c r="W623" s="20" t="n"/>
      <c r="X623" s="20" t="n"/>
      <c r="Y623" s="20" t="n"/>
      <c r="Z623" s="20" t="n"/>
      <c r="AA623" s="20" t="n"/>
      <c r="AB623" s="20" t="n"/>
      <c r="AC623" s="21">
        <f>IF(W623="","",W623-K623)</f>
        <v/>
      </c>
      <c r="AD623" s="21">
        <f>IF(X623="","",X623-L623)</f>
        <v/>
      </c>
      <c r="AE623" s="21">
        <f>IF(Y623="","",Y623-M623)</f>
        <v/>
      </c>
      <c r="AF623" s="21">
        <f>IF(Z623="","",Z623-N623)</f>
        <v/>
      </c>
      <c r="AG623" s="21">
        <f>IF(AA623="","",AA623-O623)</f>
        <v/>
      </c>
      <c r="AH623" s="21">
        <f>IF(AB623="","",AB623-P623)</f>
        <v/>
      </c>
      <c r="AI623" s="18">
        <f>IF(COUNTA(W623:AB623)=0,"未入力",IF(COUNTA(W623:AB623)&lt;6,"一部入力",IF(COUNTIF(AC623:AH623,0)=6,"一致","差分あり")))</f>
        <v/>
      </c>
      <c r="AJ6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3" s="19" t="inlineStr"/>
      <c r="AL623" s="18" t="inlineStr">
        <is>
          <t>2026-06-29</t>
        </is>
      </c>
    </row>
    <row r="624" ht="22" customHeight="1">
      <c r="A624" s="17" t="inlineStr">
        <is>
          <t>1008202-LB10</t>
        </is>
      </c>
      <c r="B624" s="18" t="n">
        <v>1008202</v>
      </c>
      <c r="C624" s="17" t="inlineStr">
        <is>
          <t>LShanhua02</t>
        </is>
      </c>
      <c r="D624" s="17" t="inlineStr">
        <is>
          <t>LShanhua</t>
        </is>
      </c>
      <c r="E624" s="17" t="inlineStr">
        <is>
          <t>李 映夏</t>
        </is>
      </c>
      <c r="F624" s="19" t="inlineStr">
        <is>
          <t>武を成すは天に在り</t>
        </is>
      </c>
      <c r="G624" s="18" t="inlineStr">
        <is>
          <t>S</t>
        </is>
      </c>
      <c r="H624" s="17" t="inlineStr">
        <is>
          <t>Buffer</t>
        </is>
      </c>
      <c r="I624" s="18" t="n">
        <v>10</v>
      </c>
      <c r="J624" s="18" t="n">
        <v>10</v>
      </c>
      <c r="K624" s="18" t="n">
        <v>380</v>
      </c>
      <c r="L624" s="18" t="n">
        <v>371</v>
      </c>
      <c r="M624" s="18" t="n">
        <v>450</v>
      </c>
      <c r="N624" s="18" t="n">
        <v>434</v>
      </c>
      <c r="O624" s="18" t="n">
        <v>362</v>
      </c>
      <c r="P624" s="18" t="n">
        <v>367</v>
      </c>
      <c r="Q624" s="18" t="n">
        <v>38</v>
      </c>
      <c r="R624" s="18" t="n">
        <v>38</v>
      </c>
      <c r="S624" s="18" t="n">
        <v>45</v>
      </c>
      <c r="T624" s="18" t="n">
        <v>44</v>
      </c>
      <c r="U624" s="18" t="n">
        <v>37</v>
      </c>
      <c r="V624" s="18" t="n">
        <v>37</v>
      </c>
      <c r="W624" s="20" t="n"/>
      <c r="X624" s="20" t="n"/>
      <c r="Y624" s="20" t="n"/>
      <c r="Z624" s="20" t="n"/>
      <c r="AA624" s="20" t="n"/>
      <c r="AB624" s="20" t="n"/>
      <c r="AC624" s="21">
        <f>IF(W624="","",W624-K624)</f>
        <v/>
      </c>
      <c r="AD624" s="21">
        <f>IF(X624="","",X624-L624)</f>
        <v/>
      </c>
      <c r="AE624" s="21">
        <f>IF(Y624="","",Y624-M624)</f>
        <v/>
      </c>
      <c r="AF624" s="21">
        <f>IF(Z624="","",Z624-N624)</f>
        <v/>
      </c>
      <c r="AG624" s="21">
        <f>IF(AA624="","",AA624-O624)</f>
        <v/>
      </c>
      <c r="AH624" s="21">
        <f>IF(AB624="","",AB624-P624)</f>
        <v/>
      </c>
      <c r="AI624" s="18">
        <f>IF(COUNTA(W624:AB624)=0,"未入力",IF(COUNTA(W624:AB624)&lt;6,"一部入力",IF(COUNTIF(AC624:AH624,0)=6,"一致","差分あり")))</f>
        <v/>
      </c>
      <c r="AJ6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4" s="19" t="inlineStr"/>
      <c r="AL624" s="18" t="inlineStr">
        <is>
          <t>2026-06-29</t>
        </is>
      </c>
    </row>
    <row r="625" ht="22" customHeight="1">
      <c r="A625" s="17" t="inlineStr">
        <is>
          <t>1008203-LB0</t>
        </is>
      </c>
      <c r="B625" s="18" t="n">
        <v>1008203</v>
      </c>
      <c r="C625" s="17" t="inlineStr">
        <is>
          <t>LShanhua03</t>
        </is>
      </c>
      <c r="D625" s="17" t="inlineStr">
        <is>
          <t>LShanhua</t>
        </is>
      </c>
      <c r="E625" s="17" t="inlineStr">
        <is>
          <t>李 映夏</t>
        </is>
      </c>
      <c r="F625" s="19" t="inlineStr">
        <is>
          <t>我、勇ならざるは将なきに同じ</t>
        </is>
      </c>
      <c r="G625" s="18" t="inlineStr">
        <is>
          <t>SS</t>
        </is>
      </c>
      <c r="H625" s="17" t="inlineStr">
        <is>
          <t>Buffer</t>
        </is>
      </c>
      <c r="I625" s="18" t="n">
        <v>0</v>
      </c>
      <c r="J625" s="18" t="n">
        <v>4</v>
      </c>
      <c r="K625" s="18" t="n">
        <v>374</v>
      </c>
      <c r="L625" s="18" t="n">
        <v>366</v>
      </c>
      <c r="M625" s="18" t="n">
        <v>444</v>
      </c>
      <c r="N625" s="18" t="n">
        <v>406</v>
      </c>
      <c r="O625" s="18" t="n">
        <v>355</v>
      </c>
      <c r="P625" s="18" t="n">
        <v>338</v>
      </c>
      <c r="Q625" s="18" t="n">
        <v>38</v>
      </c>
      <c r="R625" s="18" t="n">
        <v>37</v>
      </c>
      <c r="S625" s="18" t="n">
        <v>45</v>
      </c>
      <c r="T625" s="18" t="n">
        <v>41</v>
      </c>
      <c r="U625" s="18" t="n">
        <v>36</v>
      </c>
      <c r="V625" s="18" t="n">
        <v>34</v>
      </c>
      <c r="W625" s="20" t="n"/>
      <c r="X625" s="20" t="n"/>
      <c r="Y625" s="20" t="n"/>
      <c r="Z625" s="20" t="n"/>
      <c r="AA625" s="20" t="n"/>
      <c r="AB625" s="20" t="n"/>
      <c r="AC625" s="21">
        <f>IF(W625="","",W625-K625)</f>
        <v/>
      </c>
      <c r="AD625" s="21">
        <f>IF(X625="","",X625-L625)</f>
        <v/>
      </c>
      <c r="AE625" s="21">
        <f>IF(Y625="","",Y625-M625)</f>
        <v/>
      </c>
      <c r="AF625" s="21">
        <f>IF(Z625="","",Z625-N625)</f>
        <v/>
      </c>
      <c r="AG625" s="21">
        <f>IF(AA625="","",AA625-O625)</f>
        <v/>
      </c>
      <c r="AH625" s="21">
        <f>IF(AB625="","",AB625-P625)</f>
        <v/>
      </c>
      <c r="AI625" s="18">
        <f>IF(COUNTA(W625:AB625)=0,"未入力",IF(COUNTA(W625:AB625)&lt;6,"一部入力",IF(COUNTIF(AC625:AH625,0)=6,"一致","差分あり")))</f>
        <v/>
      </c>
      <c r="AJ6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5" s="19" t="inlineStr"/>
      <c r="AL625" s="18" t="inlineStr">
        <is>
          <t>2026-06-29</t>
        </is>
      </c>
    </row>
    <row r="626" ht="22" customHeight="1">
      <c r="A626" s="17" t="inlineStr">
        <is>
          <t>1008203-LB4</t>
        </is>
      </c>
      <c r="B626" s="18" t="n">
        <v>1008203</v>
      </c>
      <c r="C626" s="17" t="inlineStr">
        <is>
          <t>LShanhua03</t>
        </is>
      </c>
      <c r="D626" s="17" t="inlineStr">
        <is>
          <t>LShanhua</t>
        </is>
      </c>
      <c r="E626" s="17" t="inlineStr">
        <is>
          <t>李 映夏</t>
        </is>
      </c>
      <c r="F626" s="19" t="inlineStr">
        <is>
          <t>我、勇ならざるは将なきに同じ</t>
        </is>
      </c>
      <c r="G626" s="18" t="inlineStr">
        <is>
          <t>SS</t>
        </is>
      </c>
      <c r="H626" s="17" t="inlineStr">
        <is>
          <t>Buffer</t>
        </is>
      </c>
      <c r="I626" s="18" t="n">
        <v>4</v>
      </c>
      <c r="J626" s="18" t="n">
        <v>4</v>
      </c>
      <c r="K626" s="18" t="n">
        <v>461</v>
      </c>
      <c r="L626" s="18" t="n">
        <v>451</v>
      </c>
      <c r="M626" s="18" t="n">
        <v>539</v>
      </c>
      <c r="N626" s="18" t="n">
        <v>497</v>
      </c>
      <c r="O626" s="18" t="n">
        <v>440</v>
      </c>
      <c r="P626" s="18" t="n">
        <v>424</v>
      </c>
      <c r="Q626" s="18" t="n">
        <v>47</v>
      </c>
      <c r="R626" s="18" t="n">
        <v>46</v>
      </c>
      <c r="S626" s="18" t="n">
        <v>54</v>
      </c>
      <c r="T626" s="18" t="n">
        <v>50</v>
      </c>
      <c r="U626" s="18" t="n">
        <v>44</v>
      </c>
      <c r="V626" s="18" t="n">
        <v>43</v>
      </c>
      <c r="W626" s="20" t="n"/>
      <c r="X626" s="20" t="n"/>
      <c r="Y626" s="20" t="n"/>
      <c r="Z626" s="20" t="n"/>
      <c r="AA626" s="20" t="n"/>
      <c r="AB626" s="20" t="n"/>
      <c r="AC626" s="21">
        <f>IF(W626="","",W626-K626)</f>
        <v/>
      </c>
      <c r="AD626" s="21">
        <f>IF(X626="","",X626-L626)</f>
        <v/>
      </c>
      <c r="AE626" s="21">
        <f>IF(Y626="","",Y626-M626)</f>
        <v/>
      </c>
      <c r="AF626" s="21">
        <f>IF(Z626="","",Z626-N626)</f>
        <v/>
      </c>
      <c r="AG626" s="21">
        <f>IF(AA626="","",AA626-O626)</f>
        <v/>
      </c>
      <c r="AH626" s="21">
        <f>IF(AB626="","",AB626-P626)</f>
        <v/>
      </c>
      <c r="AI626" s="18">
        <f>IF(COUNTA(W626:AB626)=0,"未入力",IF(COUNTA(W626:AB626)&lt;6,"一部入力",IF(COUNTIF(AC626:AH626,0)=6,"一致","差分あり")))</f>
        <v/>
      </c>
      <c r="AJ6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6" s="19" t="inlineStr"/>
      <c r="AL626" s="18" t="inlineStr">
        <is>
          <t>2026-06-29</t>
        </is>
      </c>
    </row>
    <row r="627" ht="22" customHeight="1">
      <c r="A627" s="17" t="inlineStr">
        <is>
          <t>1008204-LB0</t>
        </is>
      </c>
      <c r="B627" s="18" t="n">
        <v>1008204</v>
      </c>
      <c r="C627" s="17" t="inlineStr">
        <is>
          <t>LShanhua04</t>
        </is>
      </c>
      <c r="D627" s="17" t="inlineStr">
        <is>
          <t>LShanhua</t>
        </is>
      </c>
      <c r="E627" s="17" t="inlineStr">
        <is>
          <t>李 映夏</t>
        </is>
      </c>
      <c r="F627" s="19" t="inlineStr">
        <is>
          <t>いざなうつゆくさ</t>
        </is>
      </c>
      <c r="G627" s="18" t="inlineStr">
        <is>
          <t>SS</t>
        </is>
      </c>
      <c r="H627" s="17" t="inlineStr">
        <is>
          <t>Buffer</t>
        </is>
      </c>
      <c r="I627" s="18" t="n">
        <v>0</v>
      </c>
      <c r="J627" s="18" t="n">
        <v>4</v>
      </c>
      <c r="K627" s="18" t="n">
        <v>396</v>
      </c>
      <c r="L627" s="18" t="n">
        <v>387</v>
      </c>
      <c r="M627" s="18" t="n">
        <v>468</v>
      </c>
      <c r="N627" s="18" t="n">
        <v>429</v>
      </c>
      <c r="O627" s="18" t="n">
        <v>376</v>
      </c>
      <c r="P627" s="18" t="n">
        <v>359</v>
      </c>
      <c r="Q627" s="18" t="n">
        <v>40</v>
      </c>
      <c r="R627" s="18" t="n">
        <v>39</v>
      </c>
      <c r="S627" s="18" t="n">
        <v>47</v>
      </c>
      <c r="T627" s="18" t="n">
        <v>43</v>
      </c>
      <c r="U627" s="18" t="n">
        <v>38</v>
      </c>
      <c r="V627" s="18" t="n">
        <v>36</v>
      </c>
      <c r="W627" s="20" t="n"/>
      <c r="X627" s="20" t="n"/>
      <c r="Y627" s="20" t="n"/>
      <c r="Z627" s="20" t="n"/>
      <c r="AA627" s="20" t="n"/>
      <c r="AB627" s="20" t="n"/>
      <c r="AC627" s="21">
        <f>IF(W627="","",W627-K627)</f>
        <v/>
      </c>
      <c r="AD627" s="21">
        <f>IF(X627="","",X627-L627)</f>
        <v/>
      </c>
      <c r="AE627" s="21">
        <f>IF(Y627="","",Y627-M627)</f>
        <v/>
      </c>
      <c r="AF627" s="21">
        <f>IF(Z627="","",Z627-N627)</f>
        <v/>
      </c>
      <c r="AG627" s="21">
        <f>IF(AA627="","",AA627-O627)</f>
        <v/>
      </c>
      <c r="AH627" s="21">
        <f>IF(AB627="","",AB627-P627)</f>
        <v/>
      </c>
      <c r="AI627" s="18">
        <f>IF(COUNTA(W627:AB627)=0,"未入力",IF(COUNTA(W627:AB627)&lt;6,"一部入力",IF(COUNTIF(AC627:AH627,0)=6,"一致","差分あり")))</f>
        <v/>
      </c>
      <c r="AJ62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7" s="19" t="inlineStr"/>
      <c r="AL627" s="18" t="inlineStr">
        <is>
          <t>2026-06-29</t>
        </is>
      </c>
    </row>
    <row r="628" ht="22" customHeight="1">
      <c r="A628" s="17" t="inlineStr">
        <is>
          <t>1008204-LB4</t>
        </is>
      </c>
      <c r="B628" s="18" t="n">
        <v>1008204</v>
      </c>
      <c r="C628" s="17" t="inlineStr">
        <is>
          <t>LShanhua04</t>
        </is>
      </c>
      <c r="D628" s="17" t="inlineStr">
        <is>
          <t>LShanhua</t>
        </is>
      </c>
      <c r="E628" s="17" t="inlineStr">
        <is>
          <t>李 映夏</t>
        </is>
      </c>
      <c r="F628" s="19" t="inlineStr">
        <is>
          <t>いざなうつゆくさ</t>
        </is>
      </c>
      <c r="G628" s="18" t="inlineStr">
        <is>
          <t>SS</t>
        </is>
      </c>
      <c r="H628" s="17" t="inlineStr">
        <is>
          <t>Buffer</t>
        </is>
      </c>
      <c r="I628" s="18" t="n">
        <v>4</v>
      </c>
      <c r="J628" s="18" t="n">
        <v>4</v>
      </c>
      <c r="K628" s="18" t="n">
        <v>482</v>
      </c>
      <c r="L628" s="18" t="n">
        <v>472</v>
      </c>
      <c r="M628" s="18" t="n">
        <v>563</v>
      </c>
      <c r="N628" s="18" t="n">
        <v>520</v>
      </c>
      <c r="O628" s="18" t="n">
        <v>461</v>
      </c>
      <c r="P628" s="18" t="n">
        <v>446</v>
      </c>
      <c r="Q628" s="18" t="n">
        <v>49</v>
      </c>
      <c r="R628" s="18" t="n">
        <v>48</v>
      </c>
      <c r="S628" s="18" t="n">
        <v>57</v>
      </c>
      <c r="T628" s="18" t="n">
        <v>52</v>
      </c>
      <c r="U628" s="18" t="n">
        <v>47</v>
      </c>
      <c r="V628" s="18" t="n">
        <v>45</v>
      </c>
      <c r="W628" s="20" t="n"/>
      <c r="X628" s="20" t="n"/>
      <c r="Y628" s="20" t="n"/>
      <c r="Z628" s="20" t="n"/>
      <c r="AA628" s="20" t="n"/>
      <c r="AB628" s="20" t="n"/>
      <c r="AC628" s="21">
        <f>IF(W628="","",W628-K628)</f>
        <v/>
      </c>
      <c r="AD628" s="21">
        <f>IF(X628="","",X628-L628)</f>
        <v/>
      </c>
      <c r="AE628" s="21">
        <f>IF(Y628="","",Y628-M628)</f>
        <v/>
      </c>
      <c r="AF628" s="21">
        <f>IF(Z628="","",Z628-N628)</f>
        <v/>
      </c>
      <c r="AG628" s="21">
        <f>IF(AA628="","",AA628-O628)</f>
        <v/>
      </c>
      <c r="AH628" s="21">
        <f>IF(AB628="","",AB628-P628)</f>
        <v/>
      </c>
      <c r="AI628" s="18">
        <f>IF(COUNTA(W628:AB628)=0,"未入力",IF(COUNTA(W628:AB628)&lt;6,"一部入力",IF(COUNTIF(AC628:AH628,0)=6,"一致","差分あり")))</f>
        <v/>
      </c>
      <c r="AJ62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8" s="19" t="inlineStr"/>
      <c r="AL628" s="18" t="inlineStr">
        <is>
          <t>2026-06-29</t>
        </is>
      </c>
    </row>
    <row r="629" ht="22" customHeight="1">
      <c r="A629" s="17" t="inlineStr">
        <is>
          <t>1008205-LB0</t>
        </is>
      </c>
      <c r="B629" s="18" t="n">
        <v>1008205</v>
      </c>
      <c r="C629" s="17" t="inlineStr">
        <is>
          <t>LShanhua05</t>
        </is>
      </c>
      <c r="D629" s="17" t="inlineStr">
        <is>
          <t>LShanhua</t>
        </is>
      </c>
      <c r="E629" s="17" t="inlineStr">
        <is>
          <t>李 映夏</t>
        </is>
      </c>
      <c r="F629" s="19" t="inlineStr">
        <is>
          <t>春宵ウォーアイニー</t>
        </is>
      </c>
      <c r="G629" s="18" t="inlineStr">
        <is>
          <t>SS</t>
        </is>
      </c>
      <c r="H629" s="17" t="inlineStr">
        <is>
          <t>Debuffer</t>
        </is>
      </c>
      <c r="I629" s="18" t="n">
        <v>0</v>
      </c>
      <c r="J629" s="18" t="n">
        <v>4</v>
      </c>
      <c r="K629" s="18" t="n">
        <v>396</v>
      </c>
      <c r="L629" s="18" t="n">
        <v>387</v>
      </c>
      <c r="M629" s="18" t="n">
        <v>468</v>
      </c>
      <c r="N629" s="18" t="n">
        <v>429</v>
      </c>
      <c r="O629" s="18" t="n">
        <v>376</v>
      </c>
      <c r="P629" s="18" t="n">
        <v>359</v>
      </c>
      <c r="Q629" s="18" t="n">
        <v>40</v>
      </c>
      <c r="R629" s="18" t="n">
        <v>39</v>
      </c>
      <c r="S629" s="18" t="n">
        <v>47</v>
      </c>
      <c r="T629" s="18" t="n">
        <v>43</v>
      </c>
      <c r="U629" s="18" t="n">
        <v>38</v>
      </c>
      <c r="V629" s="18" t="n">
        <v>36</v>
      </c>
      <c r="W629" s="20" t="n"/>
      <c r="X629" s="20" t="n"/>
      <c r="Y629" s="20" t="n"/>
      <c r="Z629" s="20" t="n"/>
      <c r="AA629" s="20" t="n"/>
      <c r="AB629" s="20" t="n"/>
      <c r="AC629" s="21">
        <f>IF(W629="","",W629-K629)</f>
        <v/>
      </c>
      <c r="AD629" s="21">
        <f>IF(X629="","",X629-L629)</f>
        <v/>
      </c>
      <c r="AE629" s="21">
        <f>IF(Y629="","",Y629-M629)</f>
        <v/>
      </c>
      <c r="AF629" s="21">
        <f>IF(Z629="","",Z629-N629)</f>
        <v/>
      </c>
      <c r="AG629" s="21">
        <f>IF(AA629="","",AA629-O629)</f>
        <v/>
      </c>
      <c r="AH629" s="21">
        <f>IF(AB629="","",AB629-P629)</f>
        <v/>
      </c>
      <c r="AI629" s="18">
        <f>IF(COUNTA(W629:AB629)=0,"未入力",IF(COUNTA(W629:AB629)&lt;6,"一部入力",IF(COUNTIF(AC629:AH629,0)=6,"一致","差分あり")))</f>
        <v/>
      </c>
      <c r="AJ62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29" s="19" t="inlineStr"/>
      <c r="AL629" s="18" t="inlineStr">
        <is>
          <t>2026-06-29</t>
        </is>
      </c>
    </row>
    <row r="630" ht="22" customHeight="1">
      <c r="A630" s="17" t="inlineStr">
        <is>
          <t>1008205-LB4</t>
        </is>
      </c>
      <c r="B630" s="18" t="n">
        <v>1008205</v>
      </c>
      <c r="C630" s="17" t="inlineStr">
        <is>
          <t>LShanhua05</t>
        </is>
      </c>
      <c r="D630" s="17" t="inlineStr">
        <is>
          <t>LShanhua</t>
        </is>
      </c>
      <c r="E630" s="17" t="inlineStr">
        <is>
          <t>李 映夏</t>
        </is>
      </c>
      <c r="F630" s="19" t="inlineStr">
        <is>
          <t>春宵ウォーアイニー</t>
        </is>
      </c>
      <c r="G630" s="18" t="inlineStr">
        <is>
          <t>SS</t>
        </is>
      </c>
      <c r="H630" s="17" t="inlineStr">
        <is>
          <t>Debuffer</t>
        </is>
      </c>
      <c r="I630" s="18" t="n">
        <v>4</v>
      </c>
      <c r="J630" s="18" t="n">
        <v>4</v>
      </c>
      <c r="K630" s="18" t="n">
        <v>482</v>
      </c>
      <c r="L630" s="18" t="n">
        <v>472</v>
      </c>
      <c r="M630" s="18" t="n">
        <v>563</v>
      </c>
      <c r="N630" s="18" t="n">
        <v>520</v>
      </c>
      <c r="O630" s="18" t="n">
        <v>461</v>
      </c>
      <c r="P630" s="18" t="n">
        <v>446</v>
      </c>
      <c r="Q630" s="18" t="n">
        <v>49</v>
      </c>
      <c r="R630" s="18" t="n">
        <v>48</v>
      </c>
      <c r="S630" s="18" t="n">
        <v>57</v>
      </c>
      <c r="T630" s="18" t="n">
        <v>52</v>
      </c>
      <c r="U630" s="18" t="n">
        <v>47</v>
      </c>
      <c r="V630" s="18" t="n">
        <v>45</v>
      </c>
      <c r="W630" s="20" t="n"/>
      <c r="X630" s="20" t="n"/>
      <c r="Y630" s="20" t="n"/>
      <c r="Z630" s="20" t="n"/>
      <c r="AA630" s="20" t="n"/>
      <c r="AB630" s="20" t="n"/>
      <c r="AC630" s="21">
        <f>IF(W630="","",W630-K630)</f>
        <v/>
      </c>
      <c r="AD630" s="21">
        <f>IF(X630="","",X630-L630)</f>
        <v/>
      </c>
      <c r="AE630" s="21">
        <f>IF(Y630="","",Y630-M630)</f>
        <v/>
      </c>
      <c r="AF630" s="21">
        <f>IF(Z630="","",Z630-N630)</f>
        <v/>
      </c>
      <c r="AG630" s="21">
        <f>IF(AA630="","",AA630-O630)</f>
        <v/>
      </c>
      <c r="AH630" s="21">
        <f>IF(AB630="","",AB630-P630)</f>
        <v/>
      </c>
      <c r="AI630" s="18">
        <f>IF(COUNTA(W630:AB630)=0,"未入力",IF(COUNTA(W630:AB630)&lt;6,"一部入力",IF(COUNTIF(AC630:AH630,0)=6,"一致","差分あり")))</f>
        <v/>
      </c>
      <c r="AJ63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0" s="19" t="inlineStr"/>
      <c r="AL630" s="18" t="inlineStr">
        <is>
          <t>2026-06-29</t>
        </is>
      </c>
    </row>
    <row r="631" ht="22" customHeight="1">
      <c r="A631" s="17" t="inlineStr">
        <is>
          <t>1008206-LB0</t>
        </is>
      </c>
      <c r="B631" s="18" t="n">
        <v>1008206</v>
      </c>
      <c r="C631" s="17" t="inlineStr">
        <is>
          <t>LShanhua06</t>
        </is>
      </c>
      <c r="D631" s="17" t="inlineStr">
        <is>
          <t>LShanhua</t>
        </is>
      </c>
      <c r="E631" s="17" t="inlineStr">
        <is>
          <t>李 映夏</t>
        </is>
      </c>
      <c r="F631" s="19" t="inlineStr">
        <is>
          <t>誇り高き戦装束</t>
        </is>
      </c>
      <c r="G631" s="18" t="inlineStr">
        <is>
          <t>S</t>
        </is>
      </c>
      <c r="H631" s="17" t="inlineStr">
        <is>
          <t>Attacker</t>
        </is>
      </c>
      <c r="I631" s="18" t="n">
        <v>0</v>
      </c>
      <c r="J631" s="18" t="n">
        <v>10</v>
      </c>
      <c r="K631" s="18" t="n">
        <v>347</v>
      </c>
      <c r="L631" s="18" t="n">
        <v>297</v>
      </c>
      <c r="M631" s="18" t="n">
        <v>331</v>
      </c>
      <c r="N631" s="18" t="n">
        <v>331</v>
      </c>
      <c r="O631" s="18" t="n">
        <v>309</v>
      </c>
      <c r="P631" s="18" t="n">
        <v>345</v>
      </c>
      <c r="Q631" s="18" t="n">
        <v>35</v>
      </c>
      <c r="R631" s="18" t="n">
        <v>30</v>
      </c>
      <c r="S631" s="18" t="n">
        <v>34</v>
      </c>
      <c r="T631" s="18" t="n">
        <v>34</v>
      </c>
      <c r="U631" s="18" t="n">
        <v>31</v>
      </c>
      <c r="V631" s="18" t="n">
        <v>35</v>
      </c>
      <c r="W631" s="20" t="n"/>
      <c r="X631" s="20" t="n"/>
      <c r="Y631" s="20" t="n"/>
      <c r="Z631" s="20" t="n"/>
      <c r="AA631" s="20" t="n"/>
      <c r="AB631" s="20" t="n"/>
      <c r="AC631" s="21">
        <f>IF(W631="","",W631-K631)</f>
        <v/>
      </c>
      <c r="AD631" s="21">
        <f>IF(X631="","",X631-L631)</f>
        <v/>
      </c>
      <c r="AE631" s="21">
        <f>IF(Y631="","",Y631-M631)</f>
        <v/>
      </c>
      <c r="AF631" s="21">
        <f>IF(Z631="","",Z631-N631)</f>
        <v/>
      </c>
      <c r="AG631" s="21">
        <f>IF(AA631="","",AA631-O631)</f>
        <v/>
      </c>
      <c r="AH631" s="21">
        <f>IF(AB631="","",AB631-P631)</f>
        <v/>
      </c>
      <c r="AI631" s="18">
        <f>IF(COUNTA(W631:AB631)=0,"未入力",IF(COUNTA(W631:AB631)&lt;6,"一部入力",IF(COUNTIF(AC631:AH631,0)=6,"一致","差分あり")))</f>
        <v/>
      </c>
      <c r="AJ63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1" s="19" t="inlineStr"/>
      <c r="AL631" s="18" t="inlineStr">
        <is>
          <t>2026-06-29</t>
        </is>
      </c>
    </row>
    <row r="632" ht="22" customHeight="1">
      <c r="A632" s="17" t="inlineStr">
        <is>
          <t>1008206-LB10</t>
        </is>
      </c>
      <c r="B632" s="18" t="n">
        <v>1008206</v>
      </c>
      <c r="C632" s="17" t="inlineStr">
        <is>
          <t>LShanhua06</t>
        </is>
      </c>
      <c r="D632" s="17" t="inlineStr">
        <is>
          <t>LShanhua</t>
        </is>
      </c>
      <c r="E632" s="17" t="inlineStr">
        <is>
          <t>李 映夏</t>
        </is>
      </c>
      <c r="F632" s="19" t="inlineStr">
        <is>
          <t>誇り高き戦装束</t>
        </is>
      </c>
      <c r="G632" s="18" t="inlineStr">
        <is>
          <t>S</t>
        </is>
      </c>
      <c r="H632" s="17" t="inlineStr">
        <is>
          <t>Attacker</t>
        </is>
      </c>
      <c r="I632" s="18" t="n">
        <v>10</v>
      </c>
      <c r="J632" s="18" t="n">
        <v>10</v>
      </c>
      <c r="K632" s="18" t="n">
        <v>412</v>
      </c>
      <c r="L632" s="18" t="n">
        <v>361</v>
      </c>
      <c r="M632" s="18" t="n">
        <v>402</v>
      </c>
      <c r="N632" s="18" t="n">
        <v>399</v>
      </c>
      <c r="O632" s="18" t="n">
        <v>373</v>
      </c>
      <c r="P632" s="18" t="n">
        <v>410</v>
      </c>
      <c r="Q632" s="18" t="n">
        <v>42</v>
      </c>
      <c r="R632" s="18" t="n">
        <v>37</v>
      </c>
      <c r="S632" s="18" t="n">
        <v>41</v>
      </c>
      <c r="T632" s="18" t="n">
        <v>40</v>
      </c>
      <c r="U632" s="18" t="n">
        <v>38</v>
      </c>
      <c r="V632" s="18" t="n">
        <v>41</v>
      </c>
      <c r="W632" s="20" t="n"/>
      <c r="X632" s="20" t="n"/>
      <c r="Y632" s="20" t="n"/>
      <c r="Z632" s="20" t="n"/>
      <c r="AA632" s="20" t="n"/>
      <c r="AB632" s="20" t="n"/>
      <c r="AC632" s="21">
        <f>IF(W632="","",W632-K632)</f>
        <v/>
      </c>
      <c r="AD632" s="21">
        <f>IF(X632="","",X632-L632)</f>
        <v/>
      </c>
      <c r="AE632" s="21">
        <f>IF(Y632="","",Y632-M632)</f>
        <v/>
      </c>
      <c r="AF632" s="21">
        <f>IF(Z632="","",Z632-N632)</f>
        <v/>
      </c>
      <c r="AG632" s="21">
        <f>IF(AA632="","",AA632-O632)</f>
        <v/>
      </c>
      <c r="AH632" s="21">
        <f>IF(AB632="","",AB632-P632)</f>
        <v/>
      </c>
      <c r="AI632" s="18">
        <f>IF(COUNTA(W632:AB632)=0,"未入力",IF(COUNTA(W632:AB632)&lt;6,"一部入力",IF(COUNTIF(AC632:AH632,0)=6,"一致","差分あり")))</f>
        <v/>
      </c>
      <c r="AJ63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2" s="19" t="inlineStr"/>
      <c r="AL632" s="18" t="inlineStr">
        <is>
          <t>2026-06-29</t>
        </is>
      </c>
    </row>
    <row r="633" ht="22" customHeight="1">
      <c r="A633" s="17" t="inlineStr">
        <is>
          <t>1008207-LB0</t>
        </is>
      </c>
      <c r="B633" s="18" t="n">
        <v>1008207</v>
      </c>
      <c r="C633" s="17" t="inlineStr">
        <is>
          <t>LShanhua07</t>
        </is>
      </c>
      <c r="D633" s="17" t="inlineStr">
        <is>
          <t>LShanhua</t>
        </is>
      </c>
      <c r="E633" s="17" t="inlineStr">
        <is>
          <t>李 映夏</t>
        </is>
      </c>
      <c r="F633" s="19" t="inlineStr">
        <is>
          <t>瑠璃色絢爛美々</t>
        </is>
      </c>
      <c r="G633" s="18" t="inlineStr">
        <is>
          <t>SS</t>
        </is>
      </c>
      <c r="H633" s="17" t="inlineStr">
        <is>
          <t>Healer</t>
        </is>
      </c>
      <c r="I633" s="18" t="n">
        <v>0</v>
      </c>
      <c r="J633" s="18" t="n">
        <v>4</v>
      </c>
      <c r="K633" s="18" t="n">
        <v>396</v>
      </c>
      <c r="L633" s="18" t="n">
        <v>387</v>
      </c>
      <c r="M633" s="18" t="n">
        <v>468</v>
      </c>
      <c r="N633" s="18" t="n">
        <v>429</v>
      </c>
      <c r="O633" s="18" t="n">
        <v>376</v>
      </c>
      <c r="P633" s="18" t="n">
        <v>359</v>
      </c>
      <c r="Q633" s="18" t="n">
        <v>40</v>
      </c>
      <c r="R633" s="18" t="n">
        <v>39</v>
      </c>
      <c r="S633" s="18" t="n">
        <v>47</v>
      </c>
      <c r="T633" s="18" t="n">
        <v>43</v>
      </c>
      <c r="U633" s="18" t="n">
        <v>38</v>
      </c>
      <c r="V633" s="18" t="n">
        <v>36</v>
      </c>
      <c r="W633" s="20" t="n"/>
      <c r="X633" s="20" t="n"/>
      <c r="Y633" s="20" t="n"/>
      <c r="Z633" s="20" t="n"/>
      <c r="AA633" s="20" t="n"/>
      <c r="AB633" s="20" t="n"/>
      <c r="AC633" s="21">
        <f>IF(W633="","",W633-K633)</f>
        <v/>
      </c>
      <c r="AD633" s="21">
        <f>IF(X633="","",X633-L633)</f>
        <v/>
      </c>
      <c r="AE633" s="21">
        <f>IF(Y633="","",Y633-M633)</f>
        <v/>
      </c>
      <c r="AF633" s="21">
        <f>IF(Z633="","",Z633-N633)</f>
        <v/>
      </c>
      <c r="AG633" s="21">
        <f>IF(AA633="","",AA633-O633)</f>
        <v/>
      </c>
      <c r="AH633" s="21">
        <f>IF(AB633="","",AB633-P633)</f>
        <v/>
      </c>
      <c r="AI633" s="18">
        <f>IF(COUNTA(W633:AB633)=0,"未入力",IF(COUNTA(W633:AB633)&lt;6,"一部入力",IF(COUNTIF(AC633:AH633,0)=6,"一致","差分あり")))</f>
        <v/>
      </c>
      <c r="AJ63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3" s="19" t="inlineStr"/>
      <c r="AL633" s="18" t="inlineStr">
        <is>
          <t>2026-06-29</t>
        </is>
      </c>
    </row>
    <row r="634" ht="22" customHeight="1">
      <c r="A634" s="17" t="inlineStr">
        <is>
          <t>1008207-LB4</t>
        </is>
      </c>
      <c r="B634" s="18" t="n">
        <v>1008207</v>
      </c>
      <c r="C634" s="17" t="inlineStr">
        <is>
          <t>LShanhua07</t>
        </is>
      </c>
      <c r="D634" s="17" t="inlineStr">
        <is>
          <t>LShanhua</t>
        </is>
      </c>
      <c r="E634" s="17" t="inlineStr">
        <is>
          <t>李 映夏</t>
        </is>
      </c>
      <c r="F634" s="19" t="inlineStr">
        <is>
          <t>瑠璃色絢爛美々</t>
        </is>
      </c>
      <c r="G634" s="18" t="inlineStr">
        <is>
          <t>SS</t>
        </is>
      </c>
      <c r="H634" s="17" t="inlineStr">
        <is>
          <t>Healer</t>
        </is>
      </c>
      <c r="I634" s="18" t="n">
        <v>4</v>
      </c>
      <c r="J634" s="18" t="n">
        <v>4</v>
      </c>
      <c r="K634" s="18" t="n">
        <v>482</v>
      </c>
      <c r="L634" s="18" t="n">
        <v>472</v>
      </c>
      <c r="M634" s="18" t="n">
        <v>563</v>
      </c>
      <c r="N634" s="18" t="n">
        <v>520</v>
      </c>
      <c r="O634" s="18" t="n">
        <v>461</v>
      </c>
      <c r="P634" s="18" t="n">
        <v>446</v>
      </c>
      <c r="Q634" s="18" t="n">
        <v>49</v>
      </c>
      <c r="R634" s="18" t="n">
        <v>48</v>
      </c>
      <c r="S634" s="18" t="n">
        <v>57</v>
      </c>
      <c r="T634" s="18" t="n">
        <v>52</v>
      </c>
      <c r="U634" s="18" t="n">
        <v>47</v>
      </c>
      <c r="V634" s="18" t="n">
        <v>45</v>
      </c>
      <c r="W634" s="20" t="n"/>
      <c r="X634" s="20" t="n"/>
      <c r="Y634" s="20" t="n"/>
      <c r="Z634" s="20" t="n"/>
      <c r="AA634" s="20" t="n"/>
      <c r="AB634" s="20" t="n"/>
      <c r="AC634" s="21">
        <f>IF(W634="","",W634-K634)</f>
        <v/>
      </c>
      <c r="AD634" s="21">
        <f>IF(X634="","",X634-L634)</f>
        <v/>
      </c>
      <c r="AE634" s="21">
        <f>IF(Y634="","",Y634-M634)</f>
        <v/>
      </c>
      <c r="AF634" s="21">
        <f>IF(Z634="","",Z634-N634)</f>
        <v/>
      </c>
      <c r="AG634" s="21">
        <f>IF(AA634="","",AA634-O634)</f>
        <v/>
      </c>
      <c r="AH634" s="21">
        <f>IF(AB634="","",AB634-P634)</f>
        <v/>
      </c>
      <c r="AI634" s="18">
        <f>IF(COUNTA(W634:AB634)=0,"未入力",IF(COUNTA(W634:AB634)&lt;6,"一部入力",IF(COUNTIF(AC634:AH634,0)=6,"一致","差分あり")))</f>
        <v/>
      </c>
      <c r="AJ63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4" s="19" t="inlineStr"/>
      <c r="AL634" s="18" t="inlineStr">
        <is>
          <t>2026-06-29</t>
        </is>
      </c>
    </row>
    <row r="635" ht="22" customHeight="1">
      <c r="A635" s="17" t="inlineStr">
        <is>
          <t>1008208-LB0</t>
        </is>
      </c>
      <c r="B635" s="18" t="n">
        <v>1008208</v>
      </c>
      <c r="C635" s="17" t="inlineStr">
        <is>
          <t>LShanhua08</t>
        </is>
      </c>
      <c r="D635" s="17" t="inlineStr">
        <is>
          <t>LShanhua</t>
        </is>
      </c>
      <c r="E635" s="17" t="inlineStr">
        <is>
          <t>李 映夏</t>
        </is>
      </c>
      <c r="F635" s="19" t="inlineStr">
        <is>
          <t>ハオチー♪満腹桃源郷</t>
        </is>
      </c>
      <c r="G635" s="18" t="inlineStr">
        <is>
          <t>SS</t>
        </is>
      </c>
      <c r="H635" s="17" t="inlineStr">
        <is>
          <t>Healer</t>
        </is>
      </c>
      <c r="I635" s="18" t="n">
        <v>0</v>
      </c>
      <c r="J635" s="18" t="n">
        <v>4</v>
      </c>
      <c r="K635" s="18" t="n">
        <v>396</v>
      </c>
      <c r="L635" s="18" t="n">
        <v>387</v>
      </c>
      <c r="M635" s="18" t="n">
        <v>468</v>
      </c>
      <c r="N635" s="18" t="n">
        <v>429</v>
      </c>
      <c r="O635" s="18" t="n">
        <v>376</v>
      </c>
      <c r="P635" s="18" t="n">
        <v>359</v>
      </c>
      <c r="Q635" s="18" t="n">
        <v>40</v>
      </c>
      <c r="R635" s="18" t="n">
        <v>39</v>
      </c>
      <c r="S635" s="18" t="n">
        <v>47</v>
      </c>
      <c r="T635" s="18" t="n">
        <v>43</v>
      </c>
      <c r="U635" s="18" t="n">
        <v>38</v>
      </c>
      <c r="V635" s="18" t="n">
        <v>36</v>
      </c>
      <c r="W635" s="20" t="n"/>
      <c r="X635" s="20" t="n"/>
      <c r="Y635" s="20" t="n"/>
      <c r="Z635" s="20" t="n"/>
      <c r="AA635" s="20" t="n"/>
      <c r="AB635" s="20" t="n"/>
      <c r="AC635" s="21">
        <f>IF(W635="","",W635-K635)</f>
        <v/>
      </c>
      <c r="AD635" s="21">
        <f>IF(X635="","",X635-L635)</f>
        <v/>
      </c>
      <c r="AE635" s="21">
        <f>IF(Y635="","",Y635-M635)</f>
        <v/>
      </c>
      <c r="AF635" s="21">
        <f>IF(Z635="","",Z635-N635)</f>
        <v/>
      </c>
      <c r="AG635" s="21">
        <f>IF(AA635="","",AA635-O635)</f>
        <v/>
      </c>
      <c r="AH635" s="21">
        <f>IF(AB635="","",AB635-P635)</f>
        <v/>
      </c>
      <c r="AI635" s="18">
        <f>IF(COUNTA(W635:AB635)=0,"未入力",IF(COUNTA(W635:AB635)&lt;6,"一部入力",IF(COUNTIF(AC635:AH635,0)=6,"一致","差分あり")))</f>
        <v/>
      </c>
      <c r="AJ63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5" s="19" t="inlineStr"/>
      <c r="AL635" s="18" t="inlineStr">
        <is>
          <t>2026-06-29</t>
        </is>
      </c>
    </row>
    <row r="636" ht="22" customHeight="1">
      <c r="A636" s="17" t="inlineStr">
        <is>
          <t>1008208-LB4</t>
        </is>
      </c>
      <c r="B636" s="18" t="n">
        <v>1008208</v>
      </c>
      <c r="C636" s="17" t="inlineStr">
        <is>
          <t>LShanhua08</t>
        </is>
      </c>
      <c r="D636" s="17" t="inlineStr">
        <is>
          <t>LShanhua</t>
        </is>
      </c>
      <c r="E636" s="17" t="inlineStr">
        <is>
          <t>李 映夏</t>
        </is>
      </c>
      <c r="F636" s="19" t="inlineStr">
        <is>
          <t>ハオチー♪満腹桃源郷</t>
        </is>
      </c>
      <c r="G636" s="18" t="inlineStr">
        <is>
          <t>SS</t>
        </is>
      </c>
      <c r="H636" s="17" t="inlineStr">
        <is>
          <t>Healer</t>
        </is>
      </c>
      <c r="I636" s="18" t="n">
        <v>4</v>
      </c>
      <c r="J636" s="18" t="n">
        <v>4</v>
      </c>
      <c r="K636" s="18" t="n">
        <v>482</v>
      </c>
      <c r="L636" s="18" t="n">
        <v>472</v>
      </c>
      <c r="M636" s="18" t="n">
        <v>563</v>
      </c>
      <c r="N636" s="18" t="n">
        <v>520</v>
      </c>
      <c r="O636" s="18" t="n">
        <v>461</v>
      </c>
      <c r="P636" s="18" t="n">
        <v>446</v>
      </c>
      <c r="Q636" s="18" t="n">
        <v>49</v>
      </c>
      <c r="R636" s="18" t="n">
        <v>48</v>
      </c>
      <c r="S636" s="18" t="n">
        <v>57</v>
      </c>
      <c r="T636" s="18" t="n">
        <v>52</v>
      </c>
      <c r="U636" s="18" t="n">
        <v>47</v>
      </c>
      <c r="V636" s="18" t="n">
        <v>45</v>
      </c>
      <c r="W636" s="20" t="n"/>
      <c r="X636" s="20" t="n"/>
      <c r="Y636" s="20" t="n"/>
      <c r="Z636" s="20" t="n"/>
      <c r="AA636" s="20" t="n"/>
      <c r="AB636" s="20" t="n"/>
      <c r="AC636" s="21">
        <f>IF(W636="","",W636-K636)</f>
        <v/>
      </c>
      <c r="AD636" s="21">
        <f>IF(X636="","",X636-L636)</f>
        <v/>
      </c>
      <c r="AE636" s="21">
        <f>IF(Y636="","",Y636-M636)</f>
        <v/>
      </c>
      <c r="AF636" s="21">
        <f>IF(Z636="","",Z636-N636)</f>
        <v/>
      </c>
      <c r="AG636" s="21">
        <f>IF(AA636="","",AA636-O636)</f>
        <v/>
      </c>
      <c r="AH636" s="21">
        <f>IF(AB636="","",AB636-P636)</f>
        <v/>
      </c>
      <c r="AI636" s="18">
        <f>IF(COUNTA(W636:AB636)=0,"未入力",IF(COUNTA(W636:AB636)&lt;6,"一部入力",IF(COUNTIF(AC636:AH636,0)=6,"一致","差分あり")))</f>
        <v/>
      </c>
      <c r="AJ63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6" s="19" t="inlineStr"/>
      <c r="AL636" s="18" t="inlineStr">
        <is>
          <t>2026-06-29</t>
        </is>
      </c>
    </row>
    <row r="637" ht="22" customHeight="1">
      <c r="A637" s="17" t="inlineStr">
        <is>
          <t>1008301-LB0</t>
        </is>
      </c>
      <c r="B637" s="18" t="n">
        <v>1008301</v>
      </c>
      <c r="C637" s="17" t="inlineStr">
        <is>
          <t>IRedmayne01</t>
        </is>
      </c>
      <c r="D637" s="17" t="inlineStr">
        <is>
          <t>IRedmayne</t>
        </is>
      </c>
      <c r="E637" s="17" t="inlineStr">
        <is>
          <t>アイリーン・レドメイン</t>
        </is>
      </c>
      <c r="F637" s="19" t="inlineStr">
        <is>
          <t>不可思議の探求者</t>
        </is>
      </c>
      <c r="G637" s="18" t="inlineStr">
        <is>
          <t>A</t>
        </is>
      </c>
      <c r="H637" s="17" t="inlineStr">
        <is>
          <t>Breaker</t>
        </is>
      </c>
      <c r="I637" s="18" t="n">
        <v>0</v>
      </c>
      <c r="J637" s="18" t="n">
        <v>20</v>
      </c>
      <c r="K637" s="18" t="n">
        <v>243</v>
      </c>
      <c r="L637" s="18" t="n">
        <v>301</v>
      </c>
      <c r="M637" s="18" t="n">
        <v>285</v>
      </c>
      <c r="N637" s="18" t="n">
        <v>243</v>
      </c>
      <c r="O637" s="18" t="n">
        <v>289</v>
      </c>
      <c r="P637" s="18" t="n">
        <v>278</v>
      </c>
      <c r="Q637" s="18" t="n">
        <v>25</v>
      </c>
      <c r="R637" s="18" t="n">
        <v>31</v>
      </c>
      <c r="S637" s="18" t="n">
        <v>29</v>
      </c>
      <c r="T637" s="18" t="n">
        <v>25</v>
      </c>
      <c r="U637" s="18" t="n">
        <v>29</v>
      </c>
      <c r="V637" s="18" t="n">
        <v>28</v>
      </c>
      <c r="W637" s="20" t="n"/>
      <c r="X637" s="20" t="n"/>
      <c r="Y637" s="20" t="n"/>
      <c r="Z637" s="20" t="n"/>
      <c r="AA637" s="20" t="n"/>
      <c r="AB637" s="20" t="n"/>
      <c r="AC637" s="21">
        <f>IF(W637="","",W637-K637)</f>
        <v/>
      </c>
      <c r="AD637" s="21">
        <f>IF(X637="","",X637-L637)</f>
        <v/>
      </c>
      <c r="AE637" s="21">
        <f>IF(Y637="","",Y637-M637)</f>
        <v/>
      </c>
      <c r="AF637" s="21">
        <f>IF(Z637="","",Z637-N637)</f>
        <v/>
      </c>
      <c r="AG637" s="21">
        <f>IF(AA637="","",AA637-O637)</f>
        <v/>
      </c>
      <c r="AH637" s="21">
        <f>IF(AB637="","",AB637-P637)</f>
        <v/>
      </c>
      <c r="AI637" s="18">
        <f>IF(COUNTA(W637:AB637)=0,"未入力",IF(COUNTA(W637:AB637)&lt;6,"一部入力",IF(COUNTIF(AC637:AH637,0)=6,"一致","差分あり")))</f>
        <v/>
      </c>
      <c r="AJ63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7" s="19" t="inlineStr"/>
      <c r="AL637" s="18" t="inlineStr">
        <is>
          <t>2026-06-29</t>
        </is>
      </c>
    </row>
    <row r="638" ht="22" customHeight="1">
      <c r="A638" s="17" t="inlineStr">
        <is>
          <t>1008301-LB20</t>
        </is>
      </c>
      <c r="B638" s="18" t="n">
        <v>1008301</v>
      </c>
      <c r="C638" s="17" t="inlineStr">
        <is>
          <t>IRedmayne01</t>
        </is>
      </c>
      <c r="D638" s="17" t="inlineStr">
        <is>
          <t>IRedmayne</t>
        </is>
      </c>
      <c r="E638" s="17" t="inlineStr">
        <is>
          <t>アイリーン・レドメイン</t>
        </is>
      </c>
      <c r="F638" s="19" t="inlineStr">
        <is>
          <t>不可思議の探求者</t>
        </is>
      </c>
      <c r="G638" s="18" t="inlineStr">
        <is>
          <t>A</t>
        </is>
      </c>
      <c r="H638" s="17" t="inlineStr">
        <is>
          <t>Breaker</t>
        </is>
      </c>
      <c r="I638" s="18" t="n">
        <v>20</v>
      </c>
      <c r="J638" s="18" t="n">
        <v>20</v>
      </c>
      <c r="K638" s="18" t="n">
        <v>286</v>
      </c>
      <c r="L638" s="18" t="n">
        <v>347</v>
      </c>
      <c r="M638" s="18" t="n">
        <v>330</v>
      </c>
      <c r="N638" s="18" t="n">
        <v>286</v>
      </c>
      <c r="O638" s="18" t="n">
        <v>332</v>
      </c>
      <c r="P638" s="18" t="n">
        <v>322</v>
      </c>
      <c r="Q638" s="18" t="n">
        <v>29</v>
      </c>
      <c r="R638" s="18" t="n">
        <v>35</v>
      </c>
      <c r="S638" s="18" t="n">
        <v>33</v>
      </c>
      <c r="T638" s="18" t="n">
        <v>29</v>
      </c>
      <c r="U638" s="18" t="n">
        <v>34</v>
      </c>
      <c r="V638" s="18" t="n">
        <v>33</v>
      </c>
      <c r="W638" s="20" t="n"/>
      <c r="X638" s="20" t="n"/>
      <c r="Y638" s="20" t="n"/>
      <c r="Z638" s="20" t="n"/>
      <c r="AA638" s="20" t="n"/>
      <c r="AB638" s="20" t="n"/>
      <c r="AC638" s="21">
        <f>IF(W638="","",W638-K638)</f>
        <v/>
      </c>
      <c r="AD638" s="21">
        <f>IF(X638="","",X638-L638)</f>
        <v/>
      </c>
      <c r="AE638" s="21">
        <f>IF(Y638="","",Y638-M638)</f>
        <v/>
      </c>
      <c r="AF638" s="21">
        <f>IF(Z638="","",Z638-N638)</f>
        <v/>
      </c>
      <c r="AG638" s="21">
        <f>IF(AA638="","",AA638-O638)</f>
        <v/>
      </c>
      <c r="AH638" s="21">
        <f>IF(AB638="","",AB638-P638)</f>
        <v/>
      </c>
      <c r="AI638" s="18">
        <f>IF(COUNTA(W638:AB638)=0,"未入力",IF(COUNTA(W638:AB638)&lt;6,"一部入力",IF(COUNTIF(AC638:AH638,0)=6,"一致","差分あり")))</f>
        <v/>
      </c>
      <c r="AJ63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8" s="19" t="inlineStr"/>
      <c r="AL638" s="18" t="inlineStr">
        <is>
          <t>2026-06-29</t>
        </is>
      </c>
    </row>
    <row r="639" ht="22" customHeight="1">
      <c r="A639" s="17" t="inlineStr">
        <is>
          <t>1008302-LB0</t>
        </is>
      </c>
      <c r="B639" s="18" t="n">
        <v>1008302</v>
      </c>
      <c r="C639" s="17" t="inlineStr">
        <is>
          <t>IRedmayne02</t>
        </is>
      </c>
      <c r="D639" s="17" t="inlineStr">
        <is>
          <t>IRedmayne</t>
        </is>
      </c>
      <c r="E639" s="17" t="inlineStr">
        <is>
          <t>アイリーン・レドメイン</t>
        </is>
      </c>
      <c r="F639" s="19" t="inlineStr">
        <is>
          <t>ベイカー街の軌跡</t>
        </is>
      </c>
      <c r="G639" s="18" t="inlineStr">
        <is>
          <t>S</t>
        </is>
      </c>
      <c r="H639" s="17" t="inlineStr">
        <is>
          <t>Breaker</t>
        </is>
      </c>
      <c r="I639" s="18" t="n">
        <v>0</v>
      </c>
      <c r="J639" s="18" t="n">
        <v>10</v>
      </c>
      <c r="K639" s="18" t="n">
        <v>313</v>
      </c>
      <c r="L639" s="18" t="n">
        <v>329</v>
      </c>
      <c r="M639" s="18" t="n">
        <v>354</v>
      </c>
      <c r="N639" s="18" t="n">
        <v>345</v>
      </c>
      <c r="O639" s="18" t="n">
        <v>305</v>
      </c>
      <c r="P639" s="18" t="n">
        <v>305</v>
      </c>
      <c r="Q639" s="18" t="n">
        <v>32</v>
      </c>
      <c r="R639" s="18" t="n">
        <v>33</v>
      </c>
      <c r="S639" s="18" t="n">
        <v>36</v>
      </c>
      <c r="T639" s="18" t="n">
        <v>35</v>
      </c>
      <c r="U639" s="18" t="n">
        <v>31</v>
      </c>
      <c r="V639" s="18" t="n">
        <v>31</v>
      </c>
      <c r="W639" s="20" t="n"/>
      <c r="X639" s="20" t="n"/>
      <c r="Y639" s="20" t="n"/>
      <c r="Z639" s="20" t="n"/>
      <c r="AA639" s="20" t="n"/>
      <c r="AB639" s="20" t="n"/>
      <c r="AC639" s="21">
        <f>IF(W639="","",W639-K639)</f>
        <v/>
      </c>
      <c r="AD639" s="21">
        <f>IF(X639="","",X639-L639)</f>
        <v/>
      </c>
      <c r="AE639" s="21">
        <f>IF(Y639="","",Y639-M639)</f>
        <v/>
      </c>
      <c r="AF639" s="21">
        <f>IF(Z639="","",Z639-N639)</f>
        <v/>
      </c>
      <c r="AG639" s="21">
        <f>IF(AA639="","",AA639-O639)</f>
        <v/>
      </c>
      <c r="AH639" s="21">
        <f>IF(AB639="","",AB639-P639)</f>
        <v/>
      </c>
      <c r="AI639" s="18">
        <f>IF(COUNTA(W639:AB639)=0,"未入力",IF(COUNTA(W639:AB639)&lt;6,"一部入力",IF(COUNTIF(AC639:AH639,0)=6,"一致","差分あり")))</f>
        <v/>
      </c>
      <c r="AJ63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39" s="19" t="inlineStr"/>
      <c r="AL639" s="18" t="inlineStr">
        <is>
          <t>2026-06-29</t>
        </is>
      </c>
    </row>
    <row r="640" ht="22" customHeight="1">
      <c r="A640" s="17" t="inlineStr">
        <is>
          <t>1008302-LB10</t>
        </is>
      </c>
      <c r="B640" s="18" t="n">
        <v>1008302</v>
      </c>
      <c r="C640" s="17" t="inlineStr">
        <is>
          <t>IRedmayne02</t>
        </is>
      </c>
      <c r="D640" s="17" t="inlineStr">
        <is>
          <t>IRedmayne</t>
        </is>
      </c>
      <c r="E640" s="17" t="inlineStr">
        <is>
          <t>アイリーン・レドメイン</t>
        </is>
      </c>
      <c r="F640" s="19" t="inlineStr">
        <is>
          <t>ベイカー街の軌跡</t>
        </is>
      </c>
      <c r="G640" s="18" t="inlineStr">
        <is>
          <t>S</t>
        </is>
      </c>
      <c r="H640" s="17" t="inlineStr">
        <is>
          <t>Breaker</t>
        </is>
      </c>
      <c r="I640" s="18" t="n">
        <v>10</v>
      </c>
      <c r="J640" s="18" t="n">
        <v>10</v>
      </c>
      <c r="K640" s="18" t="n">
        <v>378</v>
      </c>
      <c r="L640" s="18" t="n">
        <v>398</v>
      </c>
      <c r="M640" s="18" t="n">
        <v>425</v>
      </c>
      <c r="N640" s="18" t="n">
        <v>410</v>
      </c>
      <c r="O640" s="18" t="n">
        <v>370</v>
      </c>
      <c r="P640" s="18" t="n">
        <v>370</v>
      </c>
      <c r="Q640" s="18" t="n">
        <v>38</v>
      </c>
      <c r="R640" s="18" t="n">
        <v>40</v>
      </c>
      <c r="S640" s="18" t="n">
        <v>43</v>
      </c>
      <c r="T640" s="18" t="n">
        <v>41</v>
      </c>
      <c r="U640" s="18" t="n">
        <v>37</v>
      </c>
      <c r="V640" s="18" t="n">
        <v>37</v>
      </c>
      <c r="W640" s="20" t="n"/>
      <c r="X640" s="20" t="n"/>
      <c r="Y640" s="20" t="n"/>
      <c r="Z640" s="20" t="n"/>
      <c r="AA640" s="20" t="n"/>
      <c r="AB640" s="20" t="n"/>
      <c r="AC640" s="21">
        <f>IF(W640="","",W640-K640)</f>
        <v/>
      </c>
      <c r="AD640" s="21">
        <f>IF(X640="","",X640-L640)</f>
        <v/>
      </c>
      <c r="AE640" s="21">
        <f>IF(Y640="","",Y640-M640)</f>
        <v/>
      </c>
      <c r="AF640" s="21">
        <f>IF(Z640="","",Z640-N640)</f>
        <v/>
      </c>
      <c r="AG640" s="21">
        <f>IF(AA640="","",AA640-O640)</f>
        <v/>
      </c>
      <c r="AH640" s="21">
        <f>IF(AB640="","",AB640-P640)</f>
        <v/>
      </c>
      <c r="AI640" s="18">
        <f>IF(COUNTA(W640:AB640)=0,"未入力",IF(COUNTA(W640:AB640)&lt;6,"一部入力",IF(COUNTIF(AC640:AH640,0)=6,"一致","差分あり")))</f>
        <v/>
      </c>
      <c r="AJ64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0" s="19" t="inlineStr"/>
      <c r="AL640" s="18" t="inlineStr">
        <is>
          <t>2026-06-29</t>
        </is>
      </c>
    </row>
    <row r="641" ht="22" customHeight="1">
      <c r="A641" s="17" t="inlineStr">
        <is>
          <t>1008303-LB0</t>
        </is>
      </c>
      <c r="B641" s="18" t="n">
        <v>1008303</v>
      </c>
      <c r="C641" s="17" t="inlineStr">
        <is>
          <t>IRedmayne03</t>
        </is>
      </c>
      <c r="D641" s="17" t="inlineStr">
        <is>
          <t>IRedmayne</t>
        </is>
      </c>
      <c r="E641" s="17" t="inlineStr">
        <is>
          <t>アイリーン・レドメイン</t>
        </is>
      </c>
      <c r="F641" s="19" t="inlineStr">
        <is>
          <t>碧いカーヴァンクル</t>
        </is>
      </c>
      <c r="G641" s="18" t="inlineStr">
        <is>
          <t>SS</t>
        </is>
      </c>
      <c r="H641" s="17" t="inlineStr">
        <is>
          <t>Breaker</t>
        </is>
      </c>
      <c r="I641" s="18" t="n">
        <v>0</v>
      </c>
      <c r="J641" s="18" t="n">
        <v>4</v>
      </c>
      <c r="K641" s="18" t="n">
        <v>338</v>
      </c>
      <c r="L641" s="18" t="n">
        <v>427</v>
      </c>
      <c r="M641" s="18" t="n">
        <v>385</v>
      </c>
      <c r="N641" s="18" t="n">
        <v>359</v>
      </c>
      <c r="O641" s="18" t="n">
        <v>388</v>
      </c>
      <c r="P641" s="18" t="n">
        <v>375</v>
      </c>
      <c r="Q641" s="18" t="n">
        <v>34</v>
      </c>
      <c r="R641" s="18" t="n">
        <v>43</v>
      </c>
      <c r="S641" s="18" t="n">
        <v>39</v>
      </c>
      <c r="T641" s="18" t="n">
        <v>36</v>
      </c>
      <c r="U641" s="18" t="n">
        <v>39</v>
      </c>
      <c r="V641" s="18" t="n">
        <v>38</v>
      </c>
      <c r="W641" s="20" t="n"/>
      <c r="X641" s="20" t="n"/>
      <c r="Y641" s="20" t="n"/>
      <c r="Z641" s="20" t="n"/>
      <c r="AA641" s="20" t="n"/>
      <c r="AB641" s="20" t="n"/>
      <c r="AC641" s="21">
        <f>IF(W641="","",W641-K641)</f>
        <v/>
      </c>
      <c r="AD641" s="21">
        <f>IF(X641="","",X641-L641)</f>
        <v/>
      </c>
      <c r="AE641" s="21">
        <f>IF(Y641="","",Y641-M641)</f>
        <v/>
      </c>
      <c r="AF641" s="21">
        <f>IF(Z641="","",Z641-N641)</f>
        <v/>
      </c>
      <c r="AG641" s="21">
        <f>IF(AA641="","",AA641-O641)</f>
        <v/>
      </c>
      <c r="AH641" s="21">
        <f>IF(AB641="","",AB641-P641)</f>
        <v/>
      </c>
      <c r="AI641" s="18">
        <f>IF(COUNTA(W641:AB641)=0,"未入力",IF(COUNTA(W641:AB641)&lt;6,"一部入力",IF(COUNTIF(AC641:AH641,0)=6,"一致","差分あり")))</f>
        <v/>
      </c>
      <c r="AJ64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1" s="19" t="inlineStr"/>
      <c r="AL641" s="18" t="inlineStr">
        <is>
          <t>2026-06-29</t>
        </is>
      </c>
    </row>
    <row r="642" ht="22" customHeight="1">
      <c r="A642" s="17" t="inlineStr">
        <is>
          <t>1008303-LB4</t>
        </is>
      </c>
      <c r="B642" s="18" t="n">
        <v>1008303</v>
      </c>
      <c r="C642" s="17" t="inlineStr">
        <is>
          <t>IRedmayne03</t>
        </is>
      </c>
      <c r="D642" s="17" t="inlineStr">
        <is>
          <t>IRedmayne</t>
        </is>
      </c>
      <c r="E642" s="17" t="inlineStr">
        <is>
          <t>アイリーン・レドメイン</t>
        </is>
      </c>
      <c r="F642" s="19" t="inlineStr">
        <is>
          <t>碧いカーヴァンクル</t>
        </is>
      </c>
      <c r="G642" s="18" t="inlineStr">
        <is>
          <t>SS</t>
        </is>
      </c>
      <c r="H642" s="17" t="inlineStr">
        <is>
          <t>Breaker</t>
        </is>
      </c>
      <c r="I642" s="18" t="n">
        <v>4</v>
      </c>
      <c r="J642" s="18" t="n">
        <v>4</v>
      </c>
      <c r="K642" s="18" t="n">
        <v>424</v>
      </c>
      <c r="L642" s="18" t="n">
        <v>518</v>
      </c>
      <c r="M642" s="18" t="n">
        <v>474</v>
      </c>
      <c r="N642" s="18" t="n">
        <v>446</v>
      </c>
      <c r="O642" s="18" t="n">
        <v>475</v>
      </c>
      <c r="P642" s="18" t="n">
        <v>463</v>
      </c>
      <c r="Q642" s="18" t="n">
        <v>43</v>
      </c>
      <c r="R642" s="18" t="n">
        <v>52</v>
      </c>
      <c r="S642" s="18" t="n">
        <v>48</v>
      </c>
      <c r="T642" s="18" t="n">
        <v>45</v>
      </c>
      <c r="U642" s="18" t="n">
        <v>48</v>
      </c>
      <c r="V642" s="18" t="n">
        <v>47</v>
      </c>
      <c r="W642" s="20" t="n"/>
      <c r="X642" s="20" t="n"/>
      <c r="Y642" s="20" t="n"/>
      <c r="Z642" s="20" t="n"/>
      <c r="AA642" s="20" t="n"/>
      <c r="AB642" s="20" t="n"/>
      <c r="AC642" s="21">
        <f>IF(W642="","",W642-K642)</f>
        <v/>
      </c>
      <c r="AD642" s="21">
        <f>IF(X642="","",X642-L642)</f>
        <v/>
      </c>
      <c r="AE642" s="21">
        <f>IF(Y642="","",Y642-M642)</f>
        <v/>
      </c>
      <c r="AF642" s="21">
        <f>IF(Z642="","",Z642-N642)</f>
        <v/>
      </c>
      <c r="AG642" s="21">
        <f>IF(AA642="","",AA642-O642)</f>
        <v/>
      </c>
      <c r="AH642" s="21">
        <f>IF(AB642="","",AB642-P642)</f>
        <v/>
      </c>
      <c r="AI642" s="18">
        <f>IF(COUNTA(W642:AB642)=0,"未入力",IF(COUNTA(W642:AB642)&lt;6,"一部入力",IF(COUNTIF(AC642:AH642,0)=6,"一致","差分あり")))</f>
        <v/>
      </c>
      <c r="AJ64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2" s="19" t="inlineStr"/>
      <c r="AL642" s="18" t="inlineStr">
        <is>
          <t>2026-06-29</t>
        </is>
      </c>
    </row>
    <row r="643" ht="22" customHeight="1">
      <c r="A643" s="17" t="inlineStr">
        <is>
          <t>1008304-LB0</t>
        </is>
      </c>
      <c r="B643" s="18" t="n">
        <v>1008304</v>
      </c>
      <c r="C643" s="17" t="inlineStr">
        <is>
          <t>IRedmayne04</t>
        </is>
      </c>
      <c r="D643" s="17" t="inlineStr">
        <is>
          <t>IRedmayne</t>
        </is>
      </c>
      <c r="E643" s="17" t="inlineStr">
        <is>
          <t>アイリーン・レドメイン</t>
        </is>
      </c>
      <c r="F643" s="19" t="inlineStr">
        <is>
          <t>月下のハイドアンドシーク</t>
        </is>
      </c>
      <c r="G643" s="18" t="inlineStr">
        <is>
          <t>SS</t>
        </is>
      </c>
      <c r="H643" s="17" t="inlineStr">
        <is>
          <t>Breaker</t>
        </is>
      </c>
      <c r="I643" s="18" t="n">
        <v>0</v>
      </c>
      <c r="J643" s="18" t="n">
        <v>4</v>
      </c>
      <c r="K643" s="18" t="n">
        <v>359</v>
      </c>
      <c r="L643" s="18" t="n">
        <v>450</v>
      </c>
      <c r="M643" s="18" t="n">
        <v>407</v>
      </c>
      <c r="N643" s="18" t="n">
        <v>381</v>
      </c>
      <c r="O643" s="18" t="n">
        <v>410</v>
      </c>
      <c r="P643" s="18" t="n">
        <v>397</v>
      </c>
      <c r="Q643" s="18" t="n">
        <v>36</v>
      </c>
      <c r="R643" s="18" t="n">
        <v>45</v>
      </c>
      <c r="S643" s="18" t="n">
        <v>41</v>
      </c>
      <c r="T643" s="18" t="n">
        <v>39</v>
      </c>
      <c r="U643" s="18" t="n">
        <v>41</v>
      </c>
      <c r="V643" s="18" t="n">
        <v>40</v>
      </c>
      <c r="W643" s="20" t="n"/>
      <c r="X643" s="20" t="n"/>
      <c r="Y643" s="20" t="n"/>
      <c r="Z643" s="20" t="n"/>
      <c r="AA643" s="20" t="n"/>
      <c r="AB643" s="20" t="n"/>
      <c r="AC643" s="21">
        <f>IF(W643="","",W643-K643)</f>
        <v/>
      </c>
      <c r="AD643" s="21">
        <f>IF(X643="","",X643-L643)</f>
        <v/>
      </c>
      <c r="AE643" s="21">
        <f>IF(Y643="","",Y643-M643)</f>
        <v/>
      </c>
      <c r="AF643" s="21">
        <f>IF(Z643="","",Z643-N643)</f>
        <v/>
      </c>
      <c r="AG643" s="21">
        <f>IF(AA643="","",AA643-O643)</f>
        <v/>
      </c>
      <c r="AH643" s="21">
        <f>IF(AB643="","",AB643-P643)</f>
        <v/>
      </c>
      <c r="AI643" s="18">
        <f>IF(COUNTA(W643:AB643)=0,"未入力",IF(COUNTA(W643:AB643)&lt;6,"一部入力",IF(COUNTIF(AC643:AH643,0)=6,"一致","差分あり")))</f>
        <v/>
      </c>
      <c r="AJ64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3" s="19" t="inlineStr"/>
      <c r="AL643" s="18" t="inlineStr">
        <is>
          <t>2026-06-29</t>
        </is>
      </c>
    </row>
    <row r="644" ht="22" customHeight="1">
      <c r="A644" s="17" t="inlineStr">
        <is>
          <t>1008304-LB4</t>
        </is>
      </c>
      <c r="B644" s="18" t="n">
        <v>1008304</v>
      </c>
      <c r="C644" s="17" t="inlineStr">
        <is>
          <t>IRedmayne04</t>
        </is>
      </c>
      <c r="D644" s="17" t="inlineStr">
        <is>
          <t>IRedmayne</t>
        </is>
      </c>
      <c r="E644" s="17" t="inlineStr">
        <is>
          <t>アイリーン・レドメイン</t>
        </is>
      </c>
      <c r="F644" s="19" t="inlineStr">
        <is>
          <t>月下のハイドアンドシーク</t>
        </is>
      </c>
      <c r="G644" s="18" t="inlineStr">
        <is>
          <t>SS</t>
        </is>
      </c>
      <c r="H644" s="17" t="inlineStr">
        <is>
          <t>Breaker</t>
        </is>
      </c>
      <c r="I644" s="18" t="n">
        <v>4</v>
      </c>
      <c r="J644" s="18" t="n">
        <v>4</v>
      </c>
      <c r="K644" s="18" t="n">
        <v>446</v>
      </c>
      <c r="L644" s="18" t="n">
        <v>541</v>
      </c>
      <c r="M644" s="18" t="n">
        <v>497</v>
      </c>
      <c r="N644" s="18" t="n">
        <v>467</v>
      </c>
      <c r="O644" s="18" t="n">
        <v>497</v>
      </c>
      <c r="P644" s="18" t="n">
        <v>484</v>
      </c>
      <c r="Q644" s="18" t="n">
        <v>45</v>
      </c>
      <c r="R644" s="18" t="n">
        <v>55</v>
      </c>
      <c r="S644" s="18" t="n">
        <v>50</v>
      </c>
      <c r="T644" s="18" t="n">
        <v>47</v>
      </c>
      <c r="U644" s="18" t="n">
        <v>50</v>
      </c>
      <c r="V644" s="18" t="n">
        <v>49</v>
      </c>
      <c r="W644" s="20" t="n"/>
      <c r="X644" s="20" t="n"/>
      <c r="Y644" s="20" t="n"/>
      <c r="Z644" s="20" t="n"/>
      <c r="AA644" s="20" t="n"/>
      <c r="AB644" s="20" t="n"/>
      <c r="AC644" s="21">
        <f>IF(W644="","",W644-K644)</f>
        <v/>
      </c>
      <c r="AD644" s="21">
        <f>IF(X644="","",X644-L644)</f>
        <v/>
      </c>
      <c r="AE644" s="21">
        <f>IF(Y644="","",Y644-M644)</f>
        <v/>
      </c>
      <c r="AF644" s="21">
        <f>IF(Z644="","",Z644-N644)</f>
        <v/>
      </c>
      <c r="AG644" s="21">
        <f>IF(AA644="","",AA644-O644)</f>
        <v/>
      </c>
      <c r="AH644" s="21">
        <f>IF(AB644="","",AB644-P644)</f>
        <v/>
      </c>
      <c r="AI644" s="18">
        <f>IF(COUNTA(W644:AB644)=0,"未入力",IF(COUNTA(W644:AB644)&lt;6,"一部入力",IF(COUNTIF(AC644:AH644,0)=6,"一致","差分あり")))</f>
        <v/>
      </c>
      <c r="AJ64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4" s="19" t="inlineStr"/>
      <c r="AL644" s="18" t="inlineStr">
        <is>
          <t>2026-06-29</t>
        </is>
      </c>
    </row>
    <row r="645" ht="22" customHeight="1">
      <c r="A645" s="17" t="inlineStr">
        <is>
          <t>1008305-LB0</t>
        </is>
      </c>
      <c r="B645" s="18" t="n">
        <v>1008305</v>
      </c>
      <c r="C645" s="17" t="inlineStr">
        <is>
          <t>IRedmayne05</t>
        </is>
      </c>
      <c r="D645" s="17" t="inlineStr">
        <is>
          <t>IRedmayne</t>
        </is>
      </c>
      <c r="E645" s="17" t="inlineStr">
        <is>
          <t>アイリーン・レドメイン</t>
        </is>
      </c>
      <c r="F645" s="19" t="inlineStr">
        <is>
          <t>謳うそよ風の向かう先</t>
        </is>
      </c>
      <c r="G645" s="18" t="inlineStr">
        <is>
          <t>SS</t>
        </is>
      </c>
      <c r="H645" s="17" t="inlineStr">
        <is>
          <t>Healer</t>
        </is>
      </c>
      <c r="I645" s="18" t="n">
        <v>0</v>
      </c>
      <c r="J645" s="18" t="n">
        <v>4</v>
      </c>
      <c r="K645" s="18" t="n">
        <v>394</v>
      </c>
      <c r="L645" s="18" t="n">
        <v>414</v>
      </c>
      <c r="M645" s="18" t="n">
        <v>443</v>
      </c>
      <c r="N645" s="18" t="n">
        <v>407</v>
      </c>
      <c r="O645" s="18" t="n">
        <v>384</v>
      </c>
      <c r="P645" s="18" t="n">
        <v>362</v>
      </c>
      <c r="Q645" s="18" t="n">
        <v>40</v>
      </c>
      <c r="R645" s="18" t="n">
        <v>42</v>
      </c>
      <c r="S645" s="18" t="n">
        <v>45</v>
      </c>
      <c r="T645" s="18" t="n">
        <v>41</v>
      </c>
      <c r="U645" s="18" t="n">
        <v>39</v>
      </c>
      <c r="V645" s="18" t="n">
        <v>37</v>
      </c>
      <c r="W645" s="20" t="n"/>
      <c r="X645" s="20" t="n"/>
      <c r="Y645" s="20" t="n"/>
      <c r="Z645" s="20" t="n"/>
      <c r="AA645" s="20" t="n"/>
      <c r="AB645" s="20" t="n"/>
      <c r="AC645" s="21">
        <f>IF(W645="","",W645-K645)</f>
        <v/>
      </c>
      <c r="AD645" s="21">
        <f>IF(X645="","",X645-L645)</f>
        <v/>
      </c>
      <c r="AE645" s="21">
        <f>IF(Y645="","",Y645-M645)</f>
        <v/>
      </c>
      <c r="AF645" s="21">
        <f>IF(Z645="","",Z645-N645)</f>
        <v/>
      </c>
      <c r="AG645" s="21">
        <f>IF(AA645="","",AA645-O645)</f>
        <v/>
      </c>
      <c r="AH645" s="21">
        <f>IF(AB645="","",AB645-P645)</f>
        <v/>
      </c>
      <c r="AI645" s="18">
        <f>IF(COUNTA(W645:AB645)=0,"未入力",IF(COUNTA(W645:AB645)&lt;6,"一部入力",IF(COUNTIF(AC645:AH645,0)=6,"一致","差分あり")))</f>
        <v/>
      </c>
      <c r="AJ64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5" s="19" t="inlineStr"/>
      <c r="AL645" s="18" t="inlineStr">
        <is>
          <t>2026-06-29</t>
        </is>
      </c>
    </row>
    <row r="646" ht="22" customHeight="1">
      <c r="A646" s="17" t="inlineStr">
        <is>
          <t>1008305-LB4</t>
        </is>
      </c>
      <c r="B646" s="18" t="n">
        <v>1008305</v>
      </c>
      <c r="C646" s="17" t="inlineStr">
        <is>
          <t>IRedmayne05</t>
        </is>
      </c>
      <c r="D646" s="17" t="inlineStr">
        <is>
          <t>IRedmayne</t>
        </is>
      </c>
      <c r="E646" s="17" t="inlineStr">
        <is>
          <t>アイリーン・レドメイン</t>
        </is>
      </c>
      <c r="F646" s="19" t="inlineStr">
        <is>
          <t>謳うそよ風の向かう先</t>
        </is>
      </c>
      <c r="G646" s="18" t="inlineStr">
        <is>
          <t>SS</t>
        </is>
      </c>
      <c r="H646" s="17" t="inlineStr">
        <is>
          <t>Healer</t>
        </is>
      </c>
      <c r="I646" s="18" t="n">
        <v>4</v>
      </c>
      <c r="J646" s="18" t="n">
        <v>4</v>
      </c>
      <c r="K646" s="18" t="n">
        <v>480</v>
      </c>
      <c r="L646" s="18" t="n">
        <v>505</v>
      </c>
      <c r="M646" s="18" t="n">
        <v>532</v>
      </c>
      <c r="N646" s="18" t="n">
        <v>493</v>
      </c>
      <c r="O646" s="18" t="n">
        <v>471</v>
      </c>
      <c r="P646" s="18" t="n">
        <v>450</v>
      </c>
      <c r="Q646" s="18" t="n">
        <v>48</v>
      </c>
      <c r="R646" s="18" t="n">
        <v>51</v>
      </c>
      <c r="S646" s="18" t="n">
        <v>54</v>
      </c>
      <c r="T646" s="18" t="n">
        <v>50</v>
      </c>
      <c r="U646" s="18" t="n">
        <v>48</v>
      </c>
      <c r="V646" s="18" t="n">
        <v>45</v>
      </c>
      <c r="W646" s="20" t="n"/>
      <c r="X646" s="20" t="n"/>
      <c r="Y646" s="20" t="n"/>
      <c r="Z646" s="20" t="n"/>
      <c r="AA646" s="20" t="n"/>
      <c r="AB646" s="20" t="n"/>
      <c r="AC646" s="21">
        <f>IF(W646="","",W646-K646)</f>
        <v/>
      </c>
      <c r="AD646" s="21">
        <f>IF(X646="","",X646-L646)</f>
        <v/>
      </c>
      <c r="AE646" s="21">
        <f>IF(Y646="","",Y646-M646)</f>
        <v/>
      </c>
      <c r="AF646" s="21">
        <f>IF(Z646="","",Z646-N646)</f>
        <v/>
      </c>
      <c r="AG646" s="21">
        <f>IF(AA646="","",AA646-O646)</f>
        <v/>
      </c>
      <c r="AH646" s="21">
        <f>IF(AB646="","",AB646-P646)</f>
        <v/>
      </c>
      <c r="AI646" s="18">
        <f>IF(COUNTA(W646:AB646)=0,"未入力",IF(COUNTA(W646:AB646)&lt;6,"一部入力",IF(COUNTIF(AC646:AH646,0)=6,"一致","差分あり")))</f>
        <v/>
      </c>
      <c r="AJ64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6" s="19" t="inlineStr"/>
      <c r="AL646" s="18" t="inlineStr">
        <is>
          <t>2026-06-29</t>
        </is>
      </c>
    </row>
    <row r="647" ht="22" customHeight="1">
      <c r="A647" s="17" t="inlineStr">
        <is>
          <t>1008306-LB0</t>
        </is>
      </c>
      <c r="B647" s="18" t="n">
        <v>1008306</v>
      </c>
      <c r="C647" s="17" t="inlineStr">
        <is>
          <t>IRedmayne06</t>
        </is>
      </c>
      <c r="D647" s="17" t="inlineStr">
        <is>
          <t>IRedmayne</t>
        </is>
      </c>
      <c r="E647" s="17" t="inlineStr">
        <is>
          <t>アイリーン・レドメイン</t>
        </is>
      </c>
      <c r="F647" s="19" t="inlineStr">
        <is>
          <t>ベルガモットの安らぎ</t>
        </is>
      </c>
      <c r="G647" s="18" t="inlineStr">
        <is>
          <t>S</t>
        </is>
      </c>
      <c r="H647" s="17" t="inlineStr">
        <is>
          <t>Breaker</t>
        </is>
      </c>
      <c r="I647" s="18" t="n">
        <v>0</v>
      </c>
      <c r="J647" s="18" t="n">
        <v>10</v>
      </c>
      <c r="K647" s="18" t="n">
        <v>302</v>
      </c>
      <c r="L647" s="18" t="n">
        <v>363</v>
      </c>
      <c r="M647" s="18" t="n">
        <v>324</v>
      </c>
      <c r="N647" s="18" t="n">
        <v>302</v>
      </c>
      <c r="O647" s="18" t="n">
        <v>348</v>
      </c>
      <c r="P647" s="18" t="n">
        <v>316</v>
      </c>
      <c r="Q647" s="18" t="n">
        <v>31</v>
      </c>
      <c r="R647" s="18" t="n">
        <v>37</v>
      </c>
      <c r="S647" s="18" t="n">
        <v>33</v>
      </c>
      <c r="T647" s="18" t="n">
        <v>31</v>
      </c>
      <c r="U647" s="18" t="n">
        <v>35</v>
      </c>
      <c r="V647" s="18" t="n">
        <v>32</v>
      </c>
      <c r="W647" s="20" t="n"/>
      <c r="X647" s="20" t="n"/>
      <c r="Y647" s="20" t="n"/>
      <c r="Z647" s="20" t="n"/>
      <c r="AA647" s="20" t="n"/>
      <c r="AB647" s="20" t="n"/>
      <c r="AC647" s="21">
        <f>IF(W647="","",W647-K647)</f>
        <v/>
      </c>
      <c r="AD647" s="21">
        <f>IF(X647="","",X647-L647)</f>
        <v/>
      </c>
      <c r="AE647" s="21">
        <f>IF(Y647="","",Y647-M647)</f>
        <v/>
      </c>
      <c r="AF647" s="21">
        <f>IF(Z647="","",Z647-N647)</f>
        <v/>
      </c>
      <c r="AG647" s="21">
        <f>IF(AA647="","",AA647-O647)</f>
        <v/>
      </c>
      <c r="AH647" s="21">
        <f>IF(AB647="","",AB647-P647)</f>
        <v/>
      </c>
      <c r="AI647" s="18">
        <f>IF(COUNTA(W647:AB647)=0,"未入力",IF(COUNTA(W647:AB647)&lt;6,"一部入力",IF(COUNTIF(AC647:AH647,0)=6,"一致","差分あり")))</f>
        <v/>
      </c>
      <c r="AJ64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7" s="19" t="inlineStr"/>
      <c r="AL647" s="18" t="inlineStr">
        <is>
          <t>2026-06-29</t>
        </is>
      </c>
    </row>
    <row r="648" ht="22" customHeight="1">
      <c r="A648" s="17" t="inlineStr">
        <is>
          <t>1008306-LB10</t>
        </is>
      </c>
      <c r="B648" s="18" t="n">
        <v>1008306</v>
      </c>
      <c r="C648" s="17" t="inlineStr">
        <is>
          <t>IRedmayne06</t>
        </is>
      </c>
      <c r="D648" s="17" t="inlineStr">
        <is>
          <t>IRedmayne</t>
        </is>
      </c>
      <c r="E648" s="17" t="inlineStr">
        <is>
          <t>アイリーン・レドメイン</t>
        </is>
      </c>
      <c r="F648" s="19" t="inlineStr">
        <is>
          <t>ベルガモットの安らぎ</t>
        </is>
      </c>
      <c r="G648" s="18" t="inlineStr">
        <is>
          <t>S</t>
        </is>
      </c>
      <c r="H648" s="17" t="inlineStr">
        <is>
          <t>Breaker</t>
        </is>
      </c>
      <c r="I648" s="18" t="n">
        <v>10</v>
      </c>
      <c r="J648" s="18" t="n">
        <v>10</v>
      </c>
      <c r="K648" s="18" t="n">
        <v>367</v>
      </c>
      <c r="L648" s="18" t="n">
        <v>432</v>
      </c>
      <c r="M648" s="18" t="n">
        <v>391</v>
      </c>
      <c r="N648" s="18" t="n">
        <v>367</v>
      </c>
      <c r="O648" s="18" t="n">
        <v>414</v>
      </c>
      <c r="P648" s="18" t="n">
        <v>381</v>
      </c>
      <c r="Q648" s="18" t="n">
        <v>37</v>
      </c>
      <c r="R648" s="18" t="n">
        <v>44</v>
      </c>
      <c r="S648" s="18" t="n">
        <v>40</v>
      </c>
      <c r="T648" s="18" t="n">
        <v>37</v>
      </c>
      <c r="U648" s="18" t="n">
        <v>42</v>
      </c>
      <c r="V648" s="18" t="n">
        <v>39</v>
      </c>
      <c r="W648" s="20" t="n"/>
      <c r="X648" s="20" t="n"/>
      <c r="Y648" s="20" t="n"/>
      <c r="Z648" s="20" t="n"/>
      <c r="AA648" s="20" t="n"/>
      <c r="AB648" s="20" t="n"/>
      <c r="AC648" s="21">
        <f>IF(W648="","",W648-K648)</f>
        <v/>
      </c>
      <c r="AD648" s="21">
        <f>IF(X648="","",X648-L648)</f>
        <v/>
      </c>
      <c r="AE648" s="21">
        <f>IF(Y648="","",Y648-M648)</f>
        <v/>
      </c>
      <c r="AF648" s="21">
        <f>IF(Z648="","",Z648-N648)</f>
        <v/>
      </c>
      <c r="AG648" s="21">
        <f>IF(AA648="","",AA648-O648)</f>
        <v/>
      </c>
      <c r="AH648" s="21">
        <f>IF(AB648="","",AB648-P648)</f>
        <v/>
      </c>
      <c r="AI648" s="18">
        <f>IF(COUNTA(W648:AB648)=0,"未入力",IF(COUNTA(W648:AB648)&lt;6,"一部入力",IF(COUNTIF(AC648:AH648,0)=6,"一致","差分あり")))</f>
        <v/>
      </c>
      <c r="AJ64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8" s="19" t="inlineStr"/>
      <c r="AL648" s="18" t="inlineStr">
        <is>
          <t>2026-06-29</t>
        </is>
      </c>
    </row>
    <row r="649" ht="22" customHeight="1">
      <c r="A649" s="17" t="inlineStr">
        <is>
          <t>1008307-LB0</t>
        </is>
      </c>
      <c r="B649" s="18" t="n">
        <v>1008307</v>
      </c>
      <c r="C649" s="17" t="inlineStr">
        <is>
          <t>IRedmayne07</t>
        </is>
      </c>
      <c r="D649" s="17" t="inlineStr">
        <is>
          <t>IRedmayne</t>
        </is>
      </c>
      <c r="E649" s="17" t="inlineStr">
        <is>
          <t>アイリーン・レドメイン</t>
        </is>
      </c>
      <c r="F649" s="19" t="inlineStr">
        <is>
          <t>霧煙る街の名探偵</t>
        </is>
      </c>
      <c r="G649" s="18" t="inlineStr">
        <is>
          <t>SS</t>
        </is>
      </c>
      <c r="H649" s="17" t="inlineStr">
        <is>
          <t>Blaster</t>
        </is>
      </c>
      <c r="I649" s="18" t="n">
        <v>0</v>
      </c>
      <c r="J649" s="18" t="n">
        <v>4</v>
      </c>
      <c r="K649" s="18" t="n">
        <v>428</v>
      </c>
      <c r="L649" s="18" t="n">
        <v>377</v>
      </c>
      <c r="M649" s="18" t="n">
        <v>394</v>
      </c>
      <c r="N649" s="18" t="n">
        <v>394</v>
      </c>
      <c r="O649" s="18" t="n">
        <v>397</v>
      </c>
      <c r="P649" s="18" t="n">
        <v>410</v>
      </c>
      <c r="Q649" s="18" t="n">
        <v>43</v>
      </c>
      <c r="R649" s="18" t="n">
        <v>38</v>
      </c>
      <c r="S649" s="18" t="n">
        <v>40</v>
      </c>
      <c r="T649" s="18" t="n">
        <v>40</v>
      </c>
      <c r="U649" s="18" t="n">
        <v>40</v>
      </c>
      <c r="V649" s="18" t="n">
        <v>41</v>
      </c>
      <c r="W649" s="20" t="n"/>
      <c r="X649" s="20" t="n"/>
      <c r="Y649" s="20" t="n"/>
      <c r="Z649" s="20" t="n"/>
      <c r="AA649" s="20" t="n"/>
      <c r="AB649" s="20" t="n"/>
      <c r="AC649" s="21">
        <f>IF(W649="","",W649-K649)</f>
        <v/>
      </c>
      <c r="AD649" s="21">
        <f>IF(X649="","",X649-L649)</f>
        <v/>
      </c>
      <c r="AE649" s="21">
        <f>IF(Y649="","",Y649-M649)</f>
        <v/>
      </c>
      <c r="AF649" s="21">
        <f>IF(Z649="","",Z649-N649)</f>
        <v/>
      </c>
      <c r="AG649" s="21">
        <f>IF(AA649="","",AA649-O649)</f>
        <v/>
      </c>
      <c r="AH649" s="21">
        <f>IF(AB649="","",AB649-P649)</f>
        <v/>
      </c>
      <c r="AI649" s="18">
        <f>IF(COUNTA(W649:AB649)=0,"未入力",IF(COUNTA(W649:AB649)&lt;6,"一部入力",IF(COUNTIF(AC649:AH649,0)=6,"一致","差分あり")))</f>
        <v/>
      </c>
      <c r="AJ64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49" s="19" t="inlineStr"/>
      <c r="AL649" s="18" t="inlineStr">
        <is>
          <t>2026-06-29</t>
        </is>
      </c>
    </row>
    <row r="650" ht="22" customHeight="1">
      <c r="A650" s="17" t="inlineStr">
        <is>
          <t>1008307-LB4</t>
        </is>
      </c>
      <c r="B650" s="18" t="n">
        <v>1008307</v>
      </c>
      <c r="C650" s="17" t="inlineStr">
        <is>
          <t>IRedmayne07</t>
        </is>
      </c>
      <c r="D650" s="17" t="inlineStr">
        <is>
          <t>IRedmayne</t>
        </is>
      </c>
      <c r="E650" s="17" t="inlineStr">
        <is>
          <t>アイリーン・レドメイン</t>
        </is>
      </c>
      <c r="F650" s="19" t="inlineStr">
        <is>
          <t>霧煙る街の名探偵</t>
        </is>
      </c>
      <c r="G650" s="18" t="inlineStr">
        <is>
          <t>SS</t>
        </is>
      </c>
      <c r="H650" s="17" t="inlineStr">
        <is>
          <t>Blaster</t>
        </is>
      </c>
      <c r="I650" s="18" t="n">
        <v>4</v>
      </c>
      <c r="J650" s="18" t="n">
        <v>4</v>
      </c>
      <c r="K650" s="18" t="n">
        <v>515</v>
      </c>
      <c r="L650" s="18" t="n">
        <v>469</v>
      </c>
      <c r="M650" s="18" t="n">
        <v>483</v>
      </c>
      <c r="N650" s="18" t="n">
        <v>480</v>
      </c>
      <c r="O650" s="18" t="n">
        <v>484</v>
      </c>
      <c r="P650" s="18" t="n">
        <v>497</v>
      </c>
      <c r="Q650" s="18" t="n">
        <v>52</v>
      </c>
      <c r="R650" s="18" t="n">
        <v>47</v>
      </c>
      <c r="S650" s="18" t="n">
        <v>49</v>
      </c>
      <c r="T650" s="18" t="n">
        <v>48</v>
      </c>
      <c r="U650" s="18" t="n">
        <v>49</v>
      </c>
      <c r="V650" s="18" t="n">
        <v>50</v>
      </c>
      <c r="W650" s="20" t="n"/>
      <c r="X650" s="20" t="n"/>
      <c r="Y650" s="20" t="n"/>
      <c r="Z650" s="20" t="n"/>
      <c r="AA650" s="20" t="n"/>
      <c r="AB650" s="20" t="n"/>
      <c r="AC650" s="21">
        <f>IF(W650="","",W650-K650)</f>
        <v/>
      </c>
      <c r="AD650" s="21">
        <f>IF(X650="","",X650-L650)</f>
        <v/>
      </c>
      <c r="AE650" s="21">
        <f>IF(Y650="","",Y650-M650)</f>
        <v/>
      </c>
      <c r="AF650" s="21">
        <f>IF(Z650="","",Z650-N650)</f>
        <v/>
      </c>
      <c r="AG650" s="21">
        <f>IF(AA650="","",AA650-O650)</f>
        <v/>
      </c>
      <c r="AH650" s="21">
        <f>IF(AB650="","",AB650-P650)</f>
        <v/>
      </c>
      <c r="AI650" s="18">
        <f>IF(COUNTA(W650:AB650)=0,"未入力",IF(COUNTA(W650:AB650)&lt;6,"一部入力",IF(COUNTIF(AC650:AH650,0)=6,"一致","差分あり")))</f>
        <v/>
      </c>
      <c r="AJ65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0" s="19" t="inlineStr"/>
      <c r="AL650" s="18" t="inlineStr">
        <is>
          <t>2026-06-29</t>
        </is>
      </c>
    </row>
    <row r="651" ht="22" customHeight="1">
      <c r="A651" s="17" t="inlineStr">
        <is>
          <t>1008401-LB0</t>
        </is>
      </c>
      <c r="B651" s="18" t="n">
        <v>1008401</v>
      </c>
      <c r="C651" s="17" t="inlineStr">
        <is>
          <t>VBalakrishnan01</t>
        </is>
      </c>
      <c r="D651" s="17" t="inlineStr">
        <is>
          <t>VBalakrishnan</t>
        </is>
      </c>
      <c r="E651" s="17" t="inlineStr">
        <is>
          <t>ヴリティカ・バラクリシュナン</t>
        </is>
      </c>
      <c r="F651" s="19" t="inlineStr">
        <is>
          <t>華麗なるアプサラス</t>
        </is>
      </c>
      <c r="G651" s="18" t="inlineStr">
        <is>
          <t>A</t>
        </is>
      </c>
      <c r="H651" s="17" t="inlineStr">
        <is>
          <t>Debuffer</t>
        </is>
      </c>
      <c r="I651" s="18" t="n">
        <v>0</v>
      </c>
      <c r="J651" s="18" t="n">
        <v>20</v>
      </c>
      <c r="K651" s="18" t="n">
        <v>273</v>
      </c>
      <c r="L651" s="18" t="n">
        <v>272</v>
      </c>
      <c r="M651" s="18" t="n">
        <v>303</v>
      </c>
      <c r="N651" s="18" t="n">
        <v>299</v>
      </c>
      <c r="O651" s="18" t="n">
        <v>241</v>
      </c>
      <c r="P651" s="18" t="n">
        <v>249</v>
      </c>
      <c r="Q651" s="18" t="n">
        <v>28</v>
      </c>
      <c r="R651" s="18" t="n">
        <v>28</v>
      </c>
      <c r="S651" s="18" t="n">
        <v>31</v>
      </c>
      <c r="T651" s="18" t="n">
        <v>30</v>
      </c>
      <c r="U651" s="18" t="n">
        <v>25</v>
      </c>
      <c r="V651" s="18" t="n">
        <v>25</v>
      </c>
      <c r="W651" s="20" t="n"/>
      <c r="X651" s="20" t="n"/>
      <c r="Y651" s="20" t="n"/>
      <c r="Z651" s="20" t="n"/>
      <c r="AA651" s="20" t="n"/>
      <c r="AB651" s="20" t="n"/>
      <c r="AC651" s="21">
        <f>IF(W651="","",W651-K651)</f>
        <v/>
      </c>
      <c r="AD651" s="21">
        <f>IF(X651="","",X651-L651)</f>
        <v/>
      </c>
      <c r="AE651" s="21">
        <f>IF(Y651="","",Y651-M651)</f>
        <v/>
      </c>
      <c r="AF651" s="21">
        <f>IF(Z651="","",Z651-N651)</f>
        <v/>
      </c>
      <c r="AG651" s="21">
        <f>IF(AA651="","",AA651-O651)</f>
        <v/>
      </c>
      <c r="AH651" s="21">
        <f>IF(AB651="","",AB651-P651)</f>
        <v/>
      </c>
      <c r="AI651" s="18">
        <f>IF(COUNTA(W651:AB651)=0,"未入力",IF(COUNTA(W651:AB651)&lt;6,"一部入力",IF(COUNTIF(AC651:AH651,0)=6,"一致","差分あり")))</f>
        <v/>
      </c>
      <c r="AJ65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1" s="19" t="inlineStr"/>
      <c r="AL651" s="18" t="inlineStr">
        <is>
          <t>2026-06-29</t>
        </is>
      </c>
    </row>
    <row r="652" ht="22" customHeight="1">
      <c r="A652" s="17" t="inlineStr">
        <is>
          <t>1008401-LB20</t>
        </is>
      </c>
      <c r="B652" s="18" t="n">
        <v>1008401</v>
      </c>
      <c r="C652" s="17" t="inlineStr">
        <is>
          <t>VBalakrishnan01</t>
        </is>
      </c>
      <c r="D652" s="17" t="inlineStr">
        <is>
          <t>VBalakrishnan</t>
        </is>
      </c>
      <c r="E652" s="17" t="inlineStr">
        <is>
          <t>ヴリティカ・バラクリシュナン</t>
        </is>
      </c>
      <c r="F652" s="19" t="inlineStr">
        <is>
          <t>華麗なるアプサラス</t>
        </is>
      </c>
      <c r="G652" s="18" t="inlineStr">
        <is>
          <t>A</t>
        </is>
      </c>
      <c r="H652" s="17" t="inlineStr">
        <is>
          <t>Debuffer</t>
        </is>
      </c>
      <c r="I652" s="18" t="n">
        <v>20</v>
      </c>
      <c r="J652" s="18" t="n">
        <v>20</v>
      </c>
      <c r="K652" s="18" t="n">
        <v>316</v>
      </c>
      <c r="L652" s="18" t="n">
        <v>314</v>
      </c>
      <c r="M652" s="18" t="n">
        <v>350</v>
      </c>
      <c r="N652" s="18" t="n">
        <v>344</v>
      </c>
      <c r="O652" s="18" t="n">
        <v>284</v>
      </c>
      <c r="P652" s="18" t="n">
        <v>293</v>
      </c>
      <c r="Q652" s="18" t="n">
        <v>32</v>
      </c>
      <c r="R652" s="18" t="n">
        <v>32</v>
      </c>
      <c r="S652" s="18" t="n">
        <v>35</v>
      </c>
      <c r="T652" s="18" t="n">
        <v>35</v>
      </c>
      <c r="U652" s="18" t="n">
        <v>29</v>
      </c>
      <c r="V652" s="18" t="n">
        <v>30</v>
      </c>
      <c r="W652" s="20" t="n"/>
      <c r="X652" s="20" t="n"/>
      <c r="Y652" s="20" t="n"/>
      <c r="Z652" s="20" t="n"/>
      <c r="AA652" s="20" t="n"/>
      <c r="AB652" s="20" t="n"/>
      <c r="AC652" s="21">
        <f>IF(W652="","",W652-K652)</f>
        <v/>
      </c>
      <c r="AD652" s="21">
        <f>IF(X652="","",X652-L652)</f>
        <v/>
      </c>
      <c r="AE652" s="21">
        <f>IF(Y652="","",Y652-M652)</f>
        <v/>
      </c>
      <c r="AF652" s="21">
        <f>IF(Z652="","",Z652-N652)</f>
        <v/>
      </c>
      <c r="AG652" s="21">
        <f>IF(AA652="","",AA652-O652)</f>
        <v/>
      </c>
      <c r="AH652" s="21">
        <f>IF(AB652="","",AB652-P652)</f>
        <v/>
      </c>
      <c r="AI652" s="18">
        <f>IF(COUNTA(W652:AB652)=0,"未入力",IF(COUNTA(W652:AB652)&lt;6,"一部入力",IF(COUNTIF(AC652:AH652,0)=6,"一致","差分あり")))</f>
        <v/>
      </c>
      <c r="AJ65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2" s="19" t="inlineStr"/>
      <c r="AL652" s="18" t="inlineStr">
        <is>
          <t>2026-06-29</t>
        </is>
      </c>
    </row>
    <row r="653" ht="22" customHeight="1">
      <c r="A653" s="17" t="inlineStr">
        <is>
          <t>1008402-LB0</t>
        </is>
      </c>
      <c r="B653" s="18" t="n">
        <v>1008402</v>
      </c>
      <c r="C653" s="17" t="inlineStr">
        <is>
          <t>VBalakrishnan02</t>
        </is>
      </c>
      <c r="D653" s="17" t="inlineStr">
        <is>
          <t>VBalakrishnan</t>
        </is>
      </c>
      <c r="E653" s="17" t="inlineStr">
        <is>
          <t>ヴリティカ・バラクリシュナン</t>
        </is>
      </c>
      <c r="F653" s="19" t="inlineStr">
        <is>
          <t>未知数なヴェーダーンガ</t>
        </is>
      </c>
      <c r="G653" s="18" t="inlineStr">
        <is>
          <t>S</t>
        </is>
      </c>
      <c r="H653" s="17" t="inlineStr">
        <is>
          <t>Debuffer</t>
        </is>
      </c>
      <c r="I653" s="18" t="n">
        <v>0</v>
      </c>
      <c r="J653" s="18" t="n">
        <v>10</v>
      </c>
      <c r="K653" s="18" t="n">
        <v>342</v>
      </c>
      <c r="L653" s="18" t="n">
        <v>298</v>
      </c>
      <c r="M653" s="18" t="n">
        <v>320</v>
      </c>
      <c r="N653" s="18" t="n">
        <v>327</v>
      </c>
      <c r="O653" s="18" t="n">
        <v>310</v>
      </c>
      <c r="P653" s="18" t="n">
        <v>353</v>
      </c>
      <c r="Q653" s="18" t="n">
        <v>35</v>
      </c>
      <c r="R653" s="18" t="n">
        <v>30</v>
      </c>
      <c r="S653" s="18" t="n">
        <v>32</v>
      </c>
      <c r="T653" s="18" t="n">
        <v>33</v>
      </c>
      <c r="U653" s="18" t="n">
        <v>31</v>
      </c>
      <c r="V653" s="18" t="n">
        <v>36</v>
      </c>
      <c r="W653" s="20" t="n"/>
      <c r="X653" s="20" t="n"/>
      <c r="Y653" s="20" t="n"/>
      <c r="Z653" s="20" t="n"/>
      <c r="AA653" s="20" t="n"/>
      <c r="AB653" s="20" t="n"/>
      <c r="AC653" s="21">
        <f>IF(W653="","",W653-K653)</f>
        <v/>
      </c>
      <c r="AD653" s="21">
        <f>IF(X653="","",X653-L653)</f>
        <v/>
      </c>
      <c r="AE653" s="21">
        <f>IF(Y653="","",Y653-M653)</f>
        <v/>
      </c>
      <c r="AF653" s="21">
        <f>IF(Z653="","",Z653-N653)</f>
        <v/>
      </c>
      <c r="AG653" s="21">
        <f>IF(AA653="","",AA653-O653)</f>
        <v/>
      </c>
      <c r="AH653" s="21">
        <f>IF(AB653="","",AB653-P653)</f>
        <v/>
      </c>
      <c r="AI653" s="18">
        <f>IF(COUNTA(W653:AB653)=0,"未入力",IF(COUNTA(W653:AB653)&lt;6,"一部入力",IF(COUNTIF(AC653:AH653,0)=6,"一致","差分あり")))</f>
        <v/>
      </c>
      <c r="AJ65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3" s="19" t="inlineStr"/>
      <c r="AL653" s="18" t="inlineStr">
        <is>
          <t>2026-06-29</t>
        </is>
      </c>
    </row>
    <row r="654" ht="22" customHeight="1">
      <c r="A654" s="17" t="inlineStr">
        <is>
          <t>1008402-LB10</t>
        </is>
      </c>
      <c r="B654" s="18" t="n">
        <v>1008402</v>
      </c>
      <c r="C654" s="17" t="inlineStr">
        <is>
          <t>VBalakrishnan02</t>
        </is>
      </c>
      <c r="D654" s="17" t="inlineStr">
        <is>
          <t>VBalakrishnan</t>
        </is>
      </c>
      <c r="E654" s="17" t="inlineStr">
        <is>
          <t>ヴリティカ・バラクリシュナン</t>
        </is>
      </c>
      <c r="F654" s="19" t="inlineStr">
        <is>
          <t>未知数なヴェーダーンガ</t>
        </is>
      </c>
      <c r="G654" s="18" t="inlineStr">
        <is>
          <t>S</t>
        </is>
      </c>
      <c r="H654" s="17" t="inlineStr">
        <is>
          <t>Debuffer</t>
        </is>
      </c>
      <c r="I654" s="18" t="n">
        <v>10</v>
      </c>
      <c r="J654" s="18" t="n">
        <v>10</v>
      </c>
      <c r="K654" s="18" t="n">
        <v>407</v>
      </c>
      <c r="L654" s="18" t="n">
        <v>362</v>
      </c>
      <c r="M654" s="18" t="n">
        <v>389</v>
      </c>
      <c r="N654" s="18" t="n">
        <v>394</v>
      </c>
      <c r="O654" s="18" t="n">
        <v>375</v>
      </c>
      <c r="P654" s="18" t="n">
        <v>419</v>
      </c>
      <c r="Q654" s="18" t="n">
        <v>41</v>
      </c>
      <c r="R654" s="18" t="n">
        <v>37</v>
      </c>
      <c r="S654" s="18" t="n">
        <v>39</v>
      </c>
      <c r="T654" s="18" t="n">
        <v>40</v>
      </c>
      <c r="U654" s="18" t="n">
        <v>38</v>
      </c>
      <c r="V654" s="18" t="n">
        <v>42</v>
      </c>
      <c r="W654" s="20" t="n"/>
      <c r="X654" s="20" t="n"/>
      <c r="Y654" s="20" t="n"/>
      <c r="Z654" s="20" t="n"/>
      <c r="AA654" s="20" t="n"/>
      <c r="AB654" s="20" t="n"/>
      <c r="AC654" s="21">
        <f>IF(W654="","",W654-K654)</f>
        <v/>
      </c>
      <c r="AD654" s="21">
        <f>IF(X654="","",X654-L654)</f>
        <v/>
      </c>
      <c r="AE654" s="21">
        <f>IF(Y654="","",Y654-M654)</f>
        <v/>
      </c>
      <c r="AF654" s="21">
        <f>IF(Z654="","",Z654-N654)</f>
        <v/>
      </c>
      <c r="AG654" s="21">
        <f>IF(AA654="","",AA654-O654)</f>
        <v/>
      </c>
      <c r="AH654" s="21">
        <f>IF(AB654="","",AB654-P654)</f>
        <v/>
      </c>
      <c r="AI654" s="18">
        <f>IF(COUNTA(W654:AB654)=0,"未入力",IF(COUNTA(W654:AB654)&lt;6,"一部入力",IF(COUNTIF(AC654:AH654,0)=6,"一致","差分あり")))</f>
        <v/>
      </c>
      <c r="AJ65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4" s="19" t="inlineStr"/>
      <c r="AL654" s="18" t="inlineStr">
        <is>
          <t>2026-06-29</t>
        </is>
      </c>
    </row>
    <row r="655" ht="22" customHeight="1">
      <c r="A655" s="17" t="inlineStr">
        <is>
          <t>1008403-LB0</t>
        </is>
      </c>
      <c r="B655" s="18" t="n">
        <v>1008403</v>
      </c>
      <c r="C655" s="17" t="inlineStr">
        <is>
          <t>VBalakrishnan03</t>
        </is>
      </c>
      <c r="D655" s="17" t="inlineStr">
        <is>
          <t>VBalakrishnan</t>
        </is>
      </c>
      <c r="E655" s="17" t="inlineStr">
        <is>
          <t>ヴリティカ・バラクリシュナン</t>
        </is>
      </c>
      <c r="F655" s="19" t="inlineStr">
        <is>
          <t>凛々しきドゥルガー</t>
        </is>
      </c>
      <c r="G655" s="18" t="inlineStr">
        <is>
          <t>SS</t>
        </is>
      </c>
      <c r="H655" s="17" t="inlineStr">
        <is>
          <t>Defender</t>
        </is>
      </c>
      <c r="I655" s="18" t="n">
        <v>0</v>
      </c>
      <c r="J655" s="18" t="n">
        <v>4</v>
      </c>
      <c r="K655" s="18" t="n">
        <v>369</v>
      </c>
      <c r="L655" s="18" t="n">
        <v>368</v>
      </c>
      <c r="M655" s="18" t="n">
        <v>430</v>
      </c>
      <c r="N655" s="18" t="n">
        <v>401</v>
      </c>
      <c r="O655" s="18" t="n">
        <v>356</v>
      </c>
      <c r="P655" s="18" t="n">
        <v>345</v>
      </c>
      <c r="Q655" s="18" t="n">
        <v>37</v>
      </c>
      <c r="R655" s="18" t="n">
        <v>37</v>
      </c>
      <c r="S655" s="18" t="n">
        <v>43</v>
      </c>
      <c r="T655" s="18" t="n">
        <v>41</v>
      </c>
      <c r="U655" s="18" t="n">
        <v>36</v>
      </c>
      <c r="V655" s="18" t="n">
        <v>35</v>
      </c>
      <c r="W655" s="20" t="n"/>
      <c r="X655" s="20" t="n"/>
      <c r="Y655" s="20" t="n"/>
      <c r="Z655" s="20" t="n"/>
      <c r="AA655" s="20" t="n"/>
      <c r="AB655" s="20" t="n"/>
      <c r="AC655" s="21">
        <f>IF(W655="","",W655-K655)</f>
        <v/>
      </c>
      <c r="AD655" s="21">
        <f>IF(X655="","",X655-L655)</f>
        <v/>
      </c>
      <c r="AE655" s="21">
        <f>IF(Y655="","",Y655-M655)</f>
        <v/>
      </c>
      <c r="AF655" s="21">
        <f>IF(Z655="","",Z655-N655)</f>
        <v/>
      </c>
      <c r="AG655" s="21">
        <f>IF(AA655="","",AA655-O655)</f>
        <v/>
      </c>
      <c r="AH655" s="21">
        <f>IF(AB655="","",AB655-P655)</f>
        <v/>
      </c>
      <c r="AI655" s="18">
        <f>IF(COUNTA(W655:AB655)=0,"未入力",IF(COUNTA(W655:AB655)&lt;6,"一部入力",IF(COUNTIF(AC655:AH655,0)=6,"一致","差分あり")))</f>
        <v/>
      </c>
      <c r="AJ65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5" s="19" t="inlineStr"/>
      <c r="AL655" s="18" t="inlineStr">
        <is>
          <t>2026-06-29</t>
        </is>
      </c>
    </row>
    <row r="656" ht="22" customHeight="1">
      <c r="A656" s="17" t="inlineStr">
        <is>
          <t>1008403-LB4</t>
        </is>
      </c>
      <c r="B656" s="18" t="n">
        <v>1008403</v>
      </c>
      <c r="C656" s="17" t="inlineStr">
        <is>
          <t>VBalakrishnan03</t>
        </is>
      </c>
      <c r="D656" s="17" t="inlineStr">
        <is>
          <t>VBalakrishnan</t>
        </is>
      </c>
      <c r="E656" s="17" t="inlineStr">
        <is>
          <t>ヴリティカ・バラクリシュナン</t>
        </is>
      </c>
      <c r="F656" s="19" t="inlineStr">
        <is>
          <t>凛々しきドゥルガー</t>
        </is>
      </c>
      <c r="G656" s="18" t="inlineStr">
        <is>
          <t>SS</t>
        </is>
      </c>
      <c r="H656" s="17" t="inlineStr">
        <is>
          <t>Defender</t>
        </is>
      </c>
      <c r="I656" s="18" t="n">
        <v>4</v>
      </c>
      <c r="J656" s="18" t="n">
        <v>4</v>
      </c>
      <c r="K656" s="18" t="n">
        <v>455</v>
      </c>
      <c r="L656" s="18" t="n">
        <v>453</v>
      </c>
      <c r="M656" s="18" t="n">
        <v>522</v>
      </c>
      <c r="N656" s="18" t="n">
        <v>491</v>
      </c>
      <c r="O656" s="18" t="n">
        <v>442</v>
      </c>
      <c r="P656" s="18" t="n">
        <v>433</v>
      </c>
      <c r="Q656" s="18" t="n">
        <v>46</v>
      </c>
      <c r="R656" s="18" t="n">
        <v>46</v>
      </c>
      <c r="S656" s="18" t="n">
        <v>53</v>
      </c>
      <c r="T656" s="18" t="n">
        <v>50</v>
      </c>
      <c r="U656" s="18" t="n">
        <v>45</v>
      </c>
      <c r="V656" s="18" t="n">
        <v>44</v>
      </c>
      <c r="W656" s="20" t="n"/>
      <c r="X656" s="20" t="n"/>
      <c r="Y656" s="20" t="n"/>
      <c r="Z656" s="20" t="n"/>
      <c r="AA656" s="20" t="n"/>
      <c r="AB656" s="20" t="n"/>
      <c r="AC656" s="21">
        <f>IF(W656="","",W656-K656)</f>
        <v/>
      </c>
      <c r="AD656" s="21">
        <f>IF(X656="","",X656-L656)</f>
        <v/>
      </c>
      <c r="AE656" s="21">
        <f>IF(Y656="","",Y656-M656)</f>
        <v/>
      </c>
      <c r="AF656" s="21">
        <f>IF(Z656="","",Z656-N656)</f>
        <v/>
      </c>
      <c r="AG656" s="21">
        <f>IF(AA656="","",AA656-O656)</f>
        <v/>
      </c>
      <c r="AH656" s="21">
        <f>IF(AB656="","",AB656-P656)</f>
        <v/>
      </c>
      <c r="AI656" s="18">
        <f>IF(COUNTA(W656:AB656)=0,"未入力",IF(COUNTA(W656:AB656)&lt;6,"一部入力",IF(COUNTIF(AC656:AH656,0)=6,"一致","差分あり")))</f>
        <v/>
      </c>
      <c r="AJ65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6" s="19" t="inlineStr"/>
      <c r="AL656" s="18" t="inlineStr">
        <is>
          <t>2026-06-29</t>
        </is>
      </c>
    </row>
    <row r="657" ht="22" customHeight="1">
      <c r="A657" s="17" t="inlineStr">
        <is>
          <t>1008404-LB0</t>
        </is>
      </c>
      <c r="B657" s="18" t="n">
        <v>1008404</v>
      </c>
      <c r="C657" s="17" t="inlineStr">
        <is>
          <t>VBalakrishnan04</t>
        </is>
      </c>
      <c r="D657" s="17" t="inlineStr">
        <is>
          <t>VBalakrishnan</t>
        </is>
      </c>
      <c r="E657" s="17" t="inlineStr">
        <is>
          <t>ヴリティカ・バラクリシュナン</t>
        </is>
      </c>
      <c r="F657" s="19" t="inlineStr">
        <is>
          <t>華麗なる日常</t>
        </is>
      </c>
      <c r="G657" s="18" t="inlineStr">
        <is>
          <t>S</t>
        </is>
      </c>
      <c r="H657" s="17" t="inlineStr">
        <is>
          <t>Defender</t>
        </is>
      </c>
      <c r="I657" s="18" t="n">
        <v>0</v>
      </c>
      <c r="J657" s="18" t="n">
        <v>10</v>
      </c>
      <c r="K657" s="18" t="n">
        <v>300</v>
      </c>
      <c r="L657" s="18" t="n">
        <v>338</v>
      </c>
      <c r="M657" s="18" t="n">
        <v>332</v>
      </c>
      <c r="N657" s="18" t="n">
        <v>315</v>
      </c>
      <c r="O657" s="18" t="n">
        <v>342</v>
      </c>
      <c r="P657" s="18" t="n">
        <v>320</v>
      </c>
      <c r="Q657" s="18" t="n">
        <v>30</v>
      </c>
      <c r="R657" s="18" t="n">
        <v>34</v>
      </c>
      <c r="S657" s="18" t="n">
        <v>34</v>
      </c>
      <c r="T657" s="18" t="n">
        <v>32</v>
      </c>
      <c r="U657" s="18" t="n">
        <v>35</v>
      </c>
      <c r="V657" s="18" t="n">
        <v>32</v>
      </c>
      <c r="W657" s="20" t="n"/>
      <c r="X657" s="20" t="n"/>
      <c r="Y657" s="20" t="n"/>
      <c r="Z657" s="20" t="n"/>
      <c r="AA657" s="20" t="n"/>
      <c r="AB657" s="20" t="n"/>
      <c r="AC657" s="21">
        <f>IF(W657="","",W657-K657)</f>
        <v/>
      </c>
      <c r="AD657" s="21">
        <f>IF(X657="","",X657-L657)</f>
        <v/>
      </c>
      <c r="AE657" s="21">
        <f>IF(Y657="","",Y657-M657)</f>
        <v/>
      </c>
      <c r="AF657" s="21">
        <f>IF(Z657="","",Z657-N657)</f>
        <v/>
      </c>
      <c r="AG657" s="21">
        <f>IF(AA657="","",AA657-O657)</f>
        <v/>
      </c>
      <c r="AH657" s="21">
        <f>IF(AB657="","",AB657-P657)</f>
        <v/>
      </c>
      <c r="AI657" s="18">
        <f>IF(COUNTA(W657:AB657)=0,"未入力",IF(COUNTA(W657:AB657)&lt;6,"一部入力",IF(COUNTIF(AC657:AH657,0)=6,"一致","差分あり")))</f>
        <v/>
      </c>
      <c r="AJ65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7" s="19" t="inlineStr"/>
      <c r="AL657" s="18" t="inlineStr">
        <is>
          <t>2026-06-29</t>
        </is>
      </c>
    </row>
    <row r="658" ht="22" customHeight="1">
      <c r="A658" s="17" t="inlineStr">
        <is>
          <t>1008404-LB10</t>
        </is>
      </c>
      <c r="B658" s="18" t="n">
        <v>1008404</v>
      </c>
      <c r="C658" s="17" t="inlineStr">
        <is>
          <t>VBalakrishnan04</t>
        </is>
      </c>
      <c r="D658" s="17" t="inlineStr">
        <is>
          <t>VBalakrishnan</t>
        </is>
      </c>
      <c r="E658" s="17" t="inlineStr">
        <is>
          <t>ヴリティカ・バラクリシュナン</t>
        </is>
      </c>
      <c r="F658" s="19" t="inlineStr">
        <is>
          <t>華麗なる日常</t>
        </is>
      </c>
      <c r="G658" s="18" t="inlineStr">
        <is>
          <t>S</t>
        </is>
      </c>
      <c r="H658" s="17" t="inlineStr">
        <is>
          <t>Defender</t>
        </is>
      </c>
      <c r="I658" s="18" t="n">
        <v>10</v>
      </c>
      <c r="J658" s="18" t="n">
        <v>10</v>
      </c>
      <c r="K658" s="18" t="n">
        <v>364</v>
      </c>
      <c r="L658" s="18" t="n">
        <v>405</v>
      </c>
      <c r="M658" s="18" t="n">
        <v>401</v>
      </c>
      <c r="N658" s="18" t="n">
        <v>383</v>
      </c>
      <c r="O658" s="18" t="n">
        <v>407</v>
      </c>
      <c r="P658" s="18" t="n">
        <v>386</v>
      </c>
      <c r="Q658" s="18" t="n">
        <v>37</v>
      </c>
      <c r="R658" s="18" t="n">
        <v>41</v>
      </c>
      <c r="S658" s="18" t="n">
        <v>41</v>
      </c>
      <c r="T658" s="18" t="n">
        <v>39</v>
      </c>
      <c r="U658" s="18" t="n">
        <v>41</v>
      </c>
      <c r="V658" s="18" t="n">
        <v>39</v>
      </c>
      <c r="W658" s="20" t="n"/>
      <c r="X658" s="20" t="n"/>
      <c r="Y658" s="20" t="n"/>
      <c r="Z658" s="20" t="n"/>
      <c r="AA658" s="20" t="n"/>
      <c r="AB658" s="20" t="n"/>
      <c r="AC658" s="21">
        <f>IF(W658="","",W658-K658)</f>
        <v/>
      </c>
      <c r="AD658" s="21">
        <f>IF(X658="","",X658-L658)</f>
        <v/>
      </c>
      <c r="AE658" s="21">
        <f>IF(Y658="","",Y658-M658)</f>
        <v/>
      </c>
      <c r="AF658" s="21">
        <f>IF(Z658="","",Z658-N658)</f>
        <v/>
      </c>
      <c r="AG658" s="21">
        <f>IF(AA658="","",AA658-O658)</f>
        <v/>
      </c>
      <c r="AH658" s="21">
        <f>IF(AB658="","",AB658-P658)</f>
        <v/>
      </c>
      <c r="AI658" s="18">
        <f>IF(COUNTA(W658:AB658)=0,"未入力",IF(COUNTA(W658:AB658)&lt;6,"一部入力",IF(COUNTIF(AC658:AH658,0)=6,"一致","差分あり")))</f>
        <v/>
      </c>
      <c r="AJ65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8" s="19" t="inlineStr"/>
      <c r="AL658" s="18" t="inlineStr">
        <is>
          <t>2026-06-29</t>
        </is>
      </c>
    </row>
    <row r="659" ht="22" customHeight="1">
      <c r="A659" s="17" t="inlineStr">
        <is>
          <t>1008405-LB0</t>
        </is>
      </c>
      <c r="B659" s="18" t="n">
        <v>1008405</v>
      </c>
      <c r="C659" s="17" t="inlineStr">
        <is>
          <t>VBalakrishnan05</t>
        </is>
      </c>
      <c r="D659" s="17" t="inlineStr">
        <is>
          <t>VBalakrishnan</t>
        </is>
      </c>
      <c r="E659" s="17" t="inlineStr">
        <is>
          <t>ヴリティカ・バラクリシュナン</t>
        </is>
      </c>
      <c r="F659" s="19" t="inlineStr">
        <is>
          <t>美しきシャールドゥーラ</t>
        </is>
      </c>
      <c r="G659" s="18" t="inlineStr">
        <is>
          <t>SS</t>
        </is>
      </c>
      <c r="H659" s="17" t="inlineStr">
        <is>
          <t>Healer</t>
        </is>
      </c>
      <c r="I659" s="18" t="n">
        <v>0</v>
      </c>
      <c r="J659" s="18" t="n">
        <v>4</v>
      </c>
      <c r="K659" s="18" t="n">
        <v>391</v>
      </c>
      <c r="L659" s="18" t="n">
        <v>389</v>
      </c>
      <c r="M659" s="18" t="n">
        <v>453</v>
      </c>
      <c r="N659" s="18" t="n">
        <v>424</v>
      </c>
      <c r="O659" s="18" t="n">
        <v>378</v>
      </c>
      <c r="P659" s="18" t="n">
        <v>367</v>
      </c>
      <c r="Q659" s="18" t="n">
        <v>40</v>
      </c>
      <c r="R659" s="18" t="n">
        <v>39</v>
      </c>
      <c r="S659" s="18" t="n">
        <v>46</v>
      </c>
      <c r="T659" s="18" t="n">
        <v>43</v>
      </c>
      <c r="U659" s="18" t="n">
        <v>38</v>
      </c>
      <c r="V659" s="18" t="n">
        <v>37</v>
      </c>
      <c r="W659" s="20" t="n"/>
      <c r="X659" s="20" t="n"/>
      <c r="Y659" s="20" t="n"/>
      <c r="Z659" s="20" t="n"/>
      <c r="AA659" s="20" t="n"/>
      <c r="AB659" s="20" t="n"/>
      <c r="AC659" s="21">
        <f>IF(W659="","",W659-K659)</f>
        <v/>
      </c>
      <c r="AD659" s="21">
        <f>IF(X659="","",X659-L659)</f>
        <v/>
      </c>
      <c r="AE659" s="21">
        <f>IF(Y659="","",Y659-M659)</f>
        <v/>
      </c>
      <c r="AF659" s="21">
        <f>IF(Z659="","",Z659-N659)</f>
        <v/>
      </c>
      <c r="AG659" s="21">
        <f>IF(AA659="","",AA659-O659)</f>
        <v/>
      </c>
      <c r="AH659" s="21">
        <f>IF(AB659="","",AB659-P659)</f>
        <v/>
      </c>
      <c r="AI659" s="18">
        <f>IF(COUNTA(W659:AB659)=0,"未入力",IF(COUNTA(W659:AB659)&lt;6,"一部入力",IF(COUNTIF(AC659:AH659,0)=6,"一致","差分あり")))</f>
        <v/>
      </c>
      <c r="AJ65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59" s="19" t="inlineStr"/>
      <c r="AL659" s="18" t="inlineStr">
        <is>
          <t>2026-06-29</t>
        </is>
      </c>
    </row>
    <row r="660" ht="22" customHeight="1">
      <c r="A660" s="17" t="inlineStr">
        <is>
          <t>1008405-LB4</t>
        </is>
      </c>
      <c r="B660" s="18" t="n">
        <v>1008405</v>
      </c>
      <c r="C660" s="17" t="inlineStr">
        <is>
          <t>VBalakrishnan05</t>
        </is>
      </c>
      <c r="D660" s="17" t="inlineStr">
        <is>
          <t>VBalakrishnan</t>
        </is>
      </c>
      <c r="E660" s="17" t="inlineStr">
        <is>
          <t>ヴリティカ・バラクリシュナン</t>
        </is>
      </c>
      <c r="F660" s="19" t="inlineStr">
        <is>
          <t>美しきシャールドゥーラ</t>
        </is>
      </c>
      <c r="G660" s="18" t="inlineStr">
        <is>
          <t>SS</t>
        </is>
      </c>
      <c r="H660" s="17" t="inlineStr">
        <is>
          <t>Healer</t>
        </is>
      </c>
      <c r="I660" s="18" t="n">
        <v>4</v>
      </c>
      <c r="J660" s="18" t="n">
        <v>4</v>
      </c>
      <c r="K660" s="18" t="n">
        <v>476</v>
      </c>
      <c r="L660" s="18" t="n">
        <v>474</v>
      </c>
      <c r="M660" s="18" t="n">
        <v>545</v>
      </c>
      <c r="N660" s="18" t="n">
        <v>514</v>
      </c>
      <c r="O660" s="18" t="n">
        <v>463</v>
      </c>
      <c r="P660" s="18" t="n">
        <v>455</v>
      </c>
      <c r="Q660" s="18" t="n">
        <v>48</v>
      </c>
      <c r="R660" s="18" t="n">
        <v>48</v>
      </c>
      <c r="S660" s="18" t="n">
        <v>55</v>
      </c>
      <c r="T660" s="18" t="n">
        <v>52</v>
      </c>
      <c r="U660" s="18" t="n">
        <v>47</v>
      </c>
      <c r="V660" s="18" t="n">
        <v>46</v>
      </c>
      <c r="W660" s="20" t="n"/>
      <c r="X660" s="20" t="n"/>
      <c r="Y660" s="20" t="n"/>
      <c r="Z660" s="20" t="n"/>
      <c r="AA660" s="20" t="n"/>
      <c r="AB660" s="20" t="n"/>
      <c r="AC660" s="21">
        <f>IF(W660="","",W660-K660)</f>
        <v/>
      </c>
      <c r="AD660" s="21">
        <f>IF(X660="","",X660-L660)</f>
        <v/>
      </c>
      <c r="AE660" s="21">
        <f>IF(Y660="","",Y660-M660)</f>
        <v/>
      </c>
      <c r="AF660" s="21">
        <f>IF(Z660="","",Z660-N660)</f>
        <v/>
      </c>
      <c r="AG660" s="21">
        <f>IF(AA660="","",AA660-O660)</f>
        <v/>
      </c>
      <c r="AH660" s="21">
        <f>IF(AB660="","",AB660-P660)</f>
        <v/>
      </c>
      <c r="AI660" s="18">
        <f>IF(COUNTA(W660:AB660)=0,"未入力",IF(COUNTA(W660:AB660)&lt;6,"一部入力",IF(COUNTIF(AC660:AH660,0)=6,"一致","差分あり")))</f>
        <v/>
      </c>
      <c r="AJ66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0" s="19" t="inlineStr"/>
      <c r="AL660" s="18" t="inlineStr">
        <is>
          <t>2026-06-29</t>
        </is>
      </c>
    </row>
    <row r="661" ht="22" customHeight="1">
      <c r="A661" s="17" t="inlineStr">
        <is>
          <t>1008406-LB0</t>
        </is>
      </c>
      <c r="B661" s="18" t="n">
        <v>1008406</v>
      </c>
      <c r="C661" s="17" t="inlineStr">
        <is>
          <t>VBalakrishnan06</t>
        </is>
      </c>
      <c r="D661" s="17" t="inlineStr">
        <is>
          <t>VBalakrishnan</t>
        </is>
      </c>
      <c r="E661" s="17" t="inlineStr">
        <is>
          <t>ヴリティカ・バラクリシュナン</t>
        </is>
      </c>
      <c r="F661" s="19" t="inlineStr">
        <is>
          <t>歓待のアンナプールナ</t>
        </is>
      </c>
      <c r="G661" s="18" t="inlineStr">
        <is>
          <t>SS</t>
        </is>
      </c>
      <c r="H661" s="17" t="inlineStr">
        <is>
          <t>Healer</t>
        </is>
      </c>
      <c r="I661" s="18" t="n">
        <v>0</v>
      </c>
      <c r="J661" s="18" t="n">
        <v>4</v>
      </c>
      <c r="K661" s="18" t="n">
        <v>391</v>
      </c>
      <c r="L661" s="18" t="n">
        <v>389</v>
      </c>
      <c r="M661" s="18" t="n">
        <v>453</v>
      </c>
      <c r="N661" s="18" t="n">
        <v>424</v>
      </c>
      <c r="O661" s="18" t="n">
        <v>378</v>
      </c>
      <c r="P661" s="18" t="n">
        <v>367</v>
      </c>
      <c r="Q661" s="18" t="n">
        <v>40</v>
      </c>
      <c r="R661" s="18" t="n">
        <v>39</v>
      </c>
      <c r="S661" s="18" t="n">
        <v>46</v>
      </c>
      <c r="T661" s="18" t="n">
        <v>43</v>
      </c>
      <c r="U661" s="18" t="n">
        <v>38</v>
      </c>
      <c r="V661" s="18" t="n">
        <v>37</v>
      </c>
      <c r="W661" s="20" t="n"/>
      <c r="X661" s="20" t="n"/>
      <c r="Y661" s="20" t="n"/>
      <c r="Z661" s="20" t="n"/>
      <c r="AA661" s="20" t="n"/>
      <c r="AB661" s="20" t="n"/>
      <c r="AC661" s="21">
        <f>IF(W661="","",W661-K661)</f>
        <v/>
      </c>
      <c r="AD661" s="21">
        <f>IF(X661="","",X661-L661)</f>
        <v/>
      </c>
      <c r="AE661" s="21">
        <f>IF(Y661="","",Y661-M661)</f>
        <v/>
      </c>
      <c r="AF661" s="21">
        <f>IF(Z661="","",Z661-N661)</f>
        <v/>
      </c>
      <c r="AG661" s="21">
        <f>IF(AA661="","",AA661-O661)</f>
        <v/>
      </c>
      <c r="AH661" s="21">
        <f>IF(AB661="","",AB661-P661)</f>
        <v/>
      </c>
      <c r="AI661" s="18">
        <f>IF(COUNTA(W661:AB661)=0,"未入力",IF(COUNTA(W661:AB661)&lt;6,"一部入力",IF(COUNTIF(AC661:AH661,0)=6,"一致","差分あり")))</f>
        <v/>
      </c>
      <c r="AJ66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1" s="19" t="inlineStr"/>
      <c r="AL661" s="18" t="inlineStr">
        <is>
          <t>2026-06-29</t>
        </is>
      </c>
    </row>
    <row r="662" ht="22" customHeight="1">
      <c r="A662" s="17" t="inlineStr">
        <is>
          <t>1008406-LB4</t>
        </is>
      </c>
      <c r="B662" s="18" t="n">
        <v>1008406</v>
      </c>
      <c r="C662" s="17" t="inlineStr">
        <is>
          <t>VBalakrishnan06</t>
        </is>
      </c>
      <c r="D662" s="17" t="inlineStr">
        <is>
          <t>VBalakrishnan</t>
        </is>
      </c>
      <c r="E662" s="17" t="inlineStr">
        <is>
          <t>ヴリティカ・バラクリシュナン</t>
        </is>
      </c>
      <c r="F662" s="19" t="inlineStr">
        <is>
          <t>歓待のアンナプールナ</t>
        </is>
      </c>
      <c r="G662" s="18" t="inlineStr">
        <is>
          <t>SS</t>
        </is>
      </c>
      <c r="H662" s="17" t="inlineStr">
        <is>
          <t>Healer</t>
        </is>
      </c>
      <c r="I662" s="18" t="n">
        <v>4</v>
      </c>
      <c r="J662" s="18" t="n">
        <v>4</v>
      </c>
      <c r="K662" s="18" t="n">
        <v>476</v>
      </c>
      <c r="L662" s="18" t="n">
        <v>474</v>
      </c>
      <c r="M662" s="18" t="n">
        <v>545</v>
      </c>
      <c r="N662" s="18" t="n">
        <v>514</v>
      </c>
      <c r="O662" s="18" t="n">
        <v>463</v>
      </c>
      <c r="P662" s="18" t="n">
        <v>455</v>
      </c>
      <c r="Q662" s="18" t="n">
        <v>48</v>
      </c>
      <c r="R662" s="18" t="n">
        <v>48</v>
      </c>
      <c r="S662" s="18" t="n">
        <v>55</v>
      </c>
      <c r="T662" s="18" t="n">
        <v>52</v>
      </c>
      <c r="U662" s="18" t="n">
        <v>47</v>
      </c>
      <c r="V662" s="18" t="n">
        <v>46</v>
      </c>
      <c r="W662" s="20" t="n"/>
      <c r="X662" s="20" t="n"/>
      <c r="Y662" s="20" t="n"/>
      <c r="Z662" s="20" t="n"/>
      <c r="AA662" s="20" t="n"/>
      <c r="AB662" s="20" t="n"/>
      <c r="AC662" s="21">
        <f>IF(W662="","",W662-K662)</f>
        <v/>
      </c>
      <c r="AD662" s="21">
        <f>IF(X662="","",X662-L662)</f>
        <v/>
      </c>
      <c r="AE662" s="21">
        <f>IF(Y662="","",Y662-M662)</f>
        <v/>
      </c>
      <c r="AF662" s="21">
        <f>IF(Z662="","",Z662-N662)</f>
        <v/>
      </c>
      <c r="AG662" s="21">
        <f>IF(AA662="","",AA662-O662)</f>
        <v/>
      </c>
      <c r="AH662" s="21">
        <f>IF(AB662="","",AB662-P662)</f>
        <v/>
      </c>
      <c r="AI662" s="18">
        <f>IF(COUNTA(W662:AB662)=0,"未入力",IF(COUNTA(W662:AB662)&lt;6,"一部入力",IF(COUNTIF(AC662:AH662,0)=6,"一致","差分あり")))</f>
        <v/>
      </c>
      <c r="AJ66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2" s="19" t="inlineStr"/>
      <c r="AL662" s="18" t="inlineStr">
        <is>
          <t>2026-06-29</t>
        </is>
      </c>
    </row>
    <row r="663" ht="22" customHeight="1">
      <c r="A663" s="17" t="inlineStr">
        <is>
          <t>1008407-LB0</t>
        </is>
      </c>
      <c r="B663" s="18" t="n">
        <v>1008407</v>
      </c>
      <c r="C663" s="17" t="inlineStr">
        <is>
          <t>VBalakrishnan07</t>
        </is>
      </c>
      <c r="D663" s="17" t="inlineStr">
        <is>
          <t>VBalakrishnan</t>
        </is>
      </c>
      <c r="E663" s="17" t="inlineStr">
        <is>
          <t>ヴリティカ・バラクリシュナン</t>
        </is>
      </c>
      <c r="F663" s="19" t="inlineStr">
        <is>
          <t>未来へつなぐ戦略会議</t>
        </is>
      </c>
      <c r="G663" s="18" t="inlineStr">
        <is>
          <t>S</t>
        </is>
      </c>
      <c r="H663" s="17" t="inlineStr">
        <is>
          <t>Defender</t>
        </is>
      </c>
      <c r="I663" s="18" t="n">
        <v>0</v>
      </c>
      <c r="J663" s="18" t="n">
        <v>10</v>
      </c>
      <c r="K663" s="18" t="n">
        <v>342</v>
      </c>
      <c r="L663" s="18" t="n">
        <v>298</v>
      </c>
      <c r="M663" s="18" t="n">
        <v>320</v>
      </c>
      <c r="N663" s="18" t="n">
        <v>327</v>
      </c>
      <c r="O663" s="18" t="n">
        <v>310</v>
      </c>
      <c r="P663" s="18" t="n">
        <v>353</v>
      </c>
      <c r="Q663" s="18" t="n">
        <v>35</v>
      </c>
      <c r="R663" s="18" t="n">
        <v>30</v>
      </c>
      <c r="S663" s="18" t="n">
        <v>32</v>
      </c>
      <c r="T663" s="18" t="n">
        <v>33</v>
      </c>
      <c r="U663" s="18" t="n">
        <v>31</v>
      </c>
      <c r="V663" s="18" t="n">
        <v>36</v>
      </c>
      <c r="W663" s="20" t="n"/>
      <c r="X663" s="20" t="n"/>
      <c r="Y663" s="20" t="n"/>
      <c r="Z663" s="20" t="n"/>
      <c r="AA663" s="20" t="n"/>
      <c r="AB663" s="20" t="n"/>
      <c r="AC663" s="21">
        <f>IF(W663="","",W663-K663)</f>
        <v/>
      </c>
      <c r="AD663" s="21">
        <f>IF(X663="","",X663-L663)</f>
        <v/>
      </c>
      <c r="AE663" s="21">
        <f>IF(Y663="","",Y663-M663)</f>
        <v/>
      </c>
      <c r="AF663" s="21">
        <f>IF(Z663="","",Z663-N663)</f>
        <v/>
      </c>
      <c r="AG663" s="21">
        <f>IF(AA663="","",AA663-O663)</f>
        <v/>
      </c>
      <c r="AH663" s="21">
        <f>IF(AB663="","",AB663-P663)</f>
        <v/>
      </c>
      <c r="AI663" s="18">
        <f>IF(COUNTA(W663:AB663)=0,"未入力",IF(COUNTA(W663:AB663)&lt;6,"一部入力",IF(COUNTIF(AC663:AH663,0)=6,"一致","差分あり")))</f>
        <v/>
      </c>
      <c r="AJ66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3" s="19" t="inlineStr"/>
      <c r="AL663" s="18" t="inlineStr">
        <is>
          <t>2026-06-29</t>
        </is>
      </c>
    </row>
    <row r="664" ht="22" customHeight="1">
      <c r="A664" s="17" t="inlineStr">
        <is>
          <t>1008407-LB10</t>
        </is>
      </c>
      <c r="B664" s="18" t="n">
        <v>1008407</v>
      </c>
      <c r="C664" s="17" t="inlineStr">
        <is>
          <t>VBalakrishnan07</t>
        </is>
      </c>
      <c r="D664" s="17" t="inlineStr">
        <is>
          <t>VBalakrishnan</t>
        </is>
      </c>
      <c r="E664" s="17" t="inlineStr">
        <is>
          <t>ヴリティカ・バラクリシュナン</t>
        </is>
      </c>
      <c r="F664" s="19" t="inlineStr">
        <is>
          <t>未来へつなぐ戦略会議</t>
        </is>
      </c>
      <c r="G664" s="18" t="inlineStr">
        <is>
          <t>S</t>
        </is>
      </c>
      <c r="H664" s="17" t="inlineStr">
        <is>
          <t>Defender</t>
        </is>
      </c>
      <c r="I664" s="18" t="n">
        <v>10</v>
      </c>
      <c r="J664" s="18" t="n">
        <v>10</v>
      </c>
      <c r="K664" s="18" t="n">
        <v>407</v>
      </c>
      <c r="L664" s="18" t="n">
        <v>362</v>
      </c>
      <c r="M664" s="18" t="n">
        <v>389</v>
      </c>
      <c r="N664" s="18" t="n">
        <v>394</v>
      </c>
      <c r="O664" s="18" t="n">
        <v>375</v>
      </c>
      <c r="P664" s="18" t="n">
        <v>419</v>
      </c>
      <c r="Q664" s="18" t="n">
        <v>41</v>
      </c>
      <c r="R664" s="18" t="n">
        <v>37</v>
      </c>
      <c r="S664" s="18" t="n">
        <v>39</v>
      </c>
      <c r="T664" s="18" t="n">
        <v>40</v>
      </c>
      <c r="U664" s="18" t="n">
        <v>38</v>
      </c>
      <c r="V664" s="18" t="n">
        <v>42</v>
      </c>
      <c r="W664" s="20" t="n"/>
      <c r="X664" s="20" t="n"/>
      <c r="Y664" s="20" t="n"/>
      <c r="Z664" s="20" t="n"/>
      <c r="AA664" s="20" t="n"/>
      <c r="AB664" s="20" t="n"/>
      <c r="AC664" s="21">
        <f>IF(W664="","",W664-K664)</f>
        <v/>
      </c>
      <c r="AD664" s="21">
        <f>IF(X664="","",X664-L664)</f>
        <v/>
      </c>
      <c r="AE664" s="21">
        <f>IF(Y664="","",Y664-M664)</f>
        <v/>
      </c>
      <c r="AF664" s="21">
        <f>IF(Z664="","",Z664-N664)</f>
        <v/>
      </c>
      <c r="AG664" s="21">
        <f>IF(AA664="","",AA664-O664)</f>
        <v/>
      </c>
      <c r="AH664" s="21">
        <f>IF(AB664="","",AB664-P664)</f>
        <v/>
      </c>
      <c r="AI664" s="18">
        <f>IF(COUNTA(W664:AB664)=0,"未入力",IF(COUNTA(W664:AB664)&lt;6,"一部入力",IF(COUNTIF(AC664:AH664,0)=6,"一致","差分あり")))</f>
        <v/>
      </c>
      <c r="AJ66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4" s="19" t="inlineStr"/>
      <c r="AL664" s="18" t="inlineStr">
        <is>
          <t>2026-06-29</t>
        </is>
      </c>
    </row>
    <row r="665" ht="22" customHeight="1">
      <c r="A665" s="17" t="inlineStr">
        <is>
          <t>1008501-LB0</t>
        </is>
      </c>
      <c r="B665" s="18" t="n">
        <v>1008501</v>
      </c>
      <c r="C665" s="17" t="inlineStr">
        <is>
          <t>MdAngelis01</t>
        </is>
      </c>
      <c r="D665" s="17" t="inlineStr">
        <is>
          <t>MdAngelis</t>
        </is>
      </c>
      <c r="E665" s="17" t="inlineStr">
        <is>
          <t>マリア・デ・アンジェリス</t>
        </is>
      </c>
      <c r="F665" s="19" t="inlineStr">
        <is>
          <t>くれないのシスター</t>
        </is>
      </c>
      <c r="G665" s="18" t="inlineStr">
        <is>
          <t>A</t>
        </is>
      </c>
      <c r="H665" s="17" t="inlineStr">
        <is>
          <t>Healer</t>
        </is>
      </c>
      <c r="I665" s="18" t="n">
        <v>0</v>
      </c>
      <c r="J665" s="18" t="n">
        <v>20</v>
      </c>
      <c r="K665" s="18" t="n">
        <v>294</v>
      </c>
      <c r="L665" s="18" t="n">
        <v>239</v>
      </c>
      <c r="M665" s="18" t="n">
        <v>258</v>
      </c>
      <c r="N665" s="18" t="n">
        <v>287</v>
      </c>
      <c r="O665" s="18" t="n">
        <v>274</v>
      </c>
      <c r="P665" s="18" t="n">
        <v>285</v>
      </c>
      <c r="Q665" s="18" t="n">
        <v>30</v>
      </c>
      <c r="R665" s="18" t="n">
        <v>24</v>
      </c>
      <c r="S665" s="18" t="n">
        <v>26</v>
      </c>
      <c r="T665" s="18" t="n">
        <v>29</v>
      </c>
      <c r="U665" s="18" t="n">
        <v>28</v>
      </c>
      <c r="V665" s="18" t="n">
        <v>29</v>
      </c>
      <c r="W665" s="20" t="n"/>
      <c r="X665" s="20" t="n"/>
      <c r="Y665" s="20" t="n"/>
      <c r="Z665" s="20" t="n"/>
      <c r="AA665" s="20" t="n"/>
      <c r="AB665" s="20" t="n"/>
      <c r="AC665" s="21">
        <f>IF(W665="","",W665-K665)</f>
        <v/>
      </c>
      <c r="AD665" s="21">
        <f>IF(X665="","",X665-L665)</f>
        <v/>
      </c>
      <c r="AE665" s="21">
        <f>IF(Y665="","",Y665-M665)</f>
        <v/>
      </c>
      <c r="AF665" s="21">
        <f>IF(Z665="","",Z665-N665)</f>
        <v/>
      </c>
      <c r="AG665" s="21">
        <f>IF(AA665="","",AA665-O665)</f>
        <v/>
      </c>
      <c r="AH665" s="21">
        <f>IF(AB665="","",AB665-P665)</f>
        <v/>
      </c>
      <c r="AI665" s="18">
        <f>IF(COUNTA(W665:AB665)=0,"未入力",IF(COUNTA(W665:AB665)&lt;6,"一部入力",IF(COUNTIF(AC665:AH665,0)=6,"一致","差分あり")))</f>
        <v/>
      </c>
      <c r="AJ66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5" s="19" t="inlineStr"/>
      <c r="AL665" s="18" t="inlineStr">
        <is>
          <t>2026-06-29</t>
        </is>
      </c>
    </row>
    <row r="666" ht="22" customHeight="1">
      <c r="A666" s="17" t="inlineStr">
        <is>
          <t>1008501-LB20</t>
        </is>
      </c>
      <c r="B666" s="18" t="n">
        <v>1008501</v>
      </c>
      <c r="C666" s="17" t="inlineStr">
        <is>
          <t>MdAngelis01</t>
        </is>
      </c>
      <c r="D666" s="17" t="inlineStr">
        <is>
          <t>MdAngelis</t>
        </is>
      </c>
      <c r="E666" s="17" t="inlineStr">
        <is>
          <t>マリア・デ・アンジェリス</t>
        </is>
      </c>
      <c r="F666" s="19" t="inlineStr">
        <is>
          <t>くれないのシスター</t>
        </is>
      </c>
      <c r="G666" s="18" t="inlineStr">
        <is>
          <t>A</t>
        </is>
      </c>
      <c r="H666" s="17" t="inlineStr">
        <is>
          <t>Healer</t>
        </is>
      </c>
      <c r="I666" s="18" t="n">
        <v>20</v>
      </c>
      <c r="J666" s="18" t="n">
        <v>20</v>
      </c>
      <c r="K666" s="18" t="n">
        <v>340</v>
      </c>
      <c r="L666" s="18" t="n">
        <v>281</v>
      </c>
      <c r="M666" s="18" t="n">
        <v>304</v>
      </c>
      <c r="N666" s="18" t="n">
        <v>332</v>
      </c>
      <c r="O666" s="18" t="n">
        <v>317</v>
      </c>
      <c r="P666" s="18" t="n">
        <v>328</v>
      </c>
      <c r="Q666" s="18" t="n">
        <v>34</v>
      </c>
      <c r="R666" s="18" t="n">
        <v>29</v>
      </c>
      <c r="S666" s="18" t="n">
        <v>31</v>
      </c>
      <c r="T666" s="18" t="n">
        <v>34</v>
      </c>
      <c r="U666" s="18" t="n">
        <v>32</v>
      </c>
      <c r="V666" s="18" t="n">
        <v>33</v>
      </c>
      <c r="W666" s="20" t="n"/>
      <c r="X666" s="20" t="n"/>
      <c r="Y666" s="20" t="n"/>
      <c r="Z666" s="20" t="n"/>
      <c r="AA666" s="20" t="n"/>
      <c r="AB666" s="20" t="n"/>
      <c r="AC666" s="21">
        <f>IF(W666="","",W666-K666)</f>
        <v/>
      </c>
      <c r="AD666" s="21">
        <f>IF(X666="","",X666-L666)</f>
        <v/>
      </c>
      <c r="AE666" s="21">
        <f>IF(Y666="","",Y666-M666)</f>
        <v/>
      </c>
      <c r="AF666" s="21">
        <f>IF(Z666="","",Z666-N666)</f>
        <v/>
      </c>
      <c r="AG666" s="21">
        <f>IF(AA666="","",AA666-O666)</f>
        <v/>
      </c>
      <c r="AH666" s="21">
        <f>IF(AB666="","",AB666-P666)</f>
        <v/>
      </c>
      <c r="AI666" s="18">
        <f>IF(COUNTA(W666:AB666)=0,"未入力",IF(COUNTA(W666:AB666)&lt;6,"一部入力",IF(COUNTIF(AC666:AH666,0)=6,"一致","差分あり")))</f>
        <v/>
      </c>
      <c r="AJ66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6" s="19" t="inlineStr"/>
      <c r="AL666" s="18" t="inlineStr">
        <is>
          <t>2026-06-29</t>
        </is>
      </c>
    </row>
    <row r="667" ht="22" customHeight="1">
      <c r="A667" s="17" t="inlineStr">
        <is>
          <t>1008502-LB0</t>
        </is>
      </c>
      <c r="B667" s="18" t="n">
        <v>1008502</v>
      </c>
      <c r="C667" s="17" t="inlineStr">
        <is>
          <t>MdAngelis02</t>
        </is>
      </c>
      <c r="D667" s="17" t="inlineStr">
        <is>
          <t>MdAngelis</t>
        </is>
      </c>
      <c r="E667" s="17" t="inlineStr">
        <is>
          <t>マリア・デ・アンジェリス</t>
        </is>
      </c>
      <c r="F667" s="19" t="inlineStr">
        <is>
          <t>罪と栄光</t>
        </is>
      </c>
      <c r="G667" s="18" t="inlineStr">
        <is>
          <t>S</t>
        </is>
      </c>
      <c r="H667" s="17" t="inlineStr">
        <is>
          <t>Healer</t>
        </is>
      </c>
      <c r="I667" s="18" t="n">
        <v>0</v>
      </c>
      <c r="J667" s="18" t="n">
        <v>10</v>
      </c>
      <c r="K667" s="18" t="n">
        <v>311</v>
      </c>
      <c r="L667" s="18" t="n">
        <v>339</v>
      </c>
      <c r="M667" s="18" t="n">
        <v>332</v>
      </c>
      <c r="N667" s="18" t="n">
        <v>314</v>
      </c>
      <c r="O667" s="18" t="n">
        <v>344</v>
      </c>
      <c r="P667" s="18" t="n">
        <v>312</v>
      </c>
      <c r="Q667" s="18" t="n">
        <v>32</v>
      </c>
      <c r="R667" s="18" t="n">
        <v>34</v>
      </c>
      <c r="S667" s="18" t="n">
        <v>34</v>
      </c>
      <c r="T667" s="18" t="n">
        <v>32</v>
      </c>
      <c r="U667" s="18" t="n">
        <v>35</v>
      </c>
      <c r="V667" s="18" t="n">
        <v>32</v>
      </c>
      <c r="W667" s="20" t="n"/>
      <c r="X667" s="20" t="n"/>
      <c r="Y667" s="20" t="n"/>
      <c r="Z667" s="20" t="n"/>
      <c r="AA667" s="20" t="n"/>
      <c r="AB667" s="20" t="n"/>
      <c r="AC667" s="21">
        <f>IF(W667="","",W667-K667)</f>
        <v/>
      </c>
      <c r="AD667" s="21">
        <f>IF(X667="","",X667-L667)</f>
        <v/>
      </c>
      <c r="AE667" s="21">
        <f>IF(Y667="","",Y667-M667)</f>
        <v/>
      </c>
      <c r="AF667" s="21">
        <f>IF(Z667="","",Z667-N667)</f>
        <v/>
      </c>
      <c r="AG667" s="21">
        <f>IF(AA667="","",AA667-O667)</f>
        <v/>
      </c>
      <c r="AH667" s="21">
        <f>IF(AB667="","",AB667-P667)</f>
        <v/>
      </c>
      <c r="AI667" s="18">
        <f>IF(COUNTA(W667:AB667)=0,"未入力",IF(COUNTA(W667:AB667)&lt;6,"一部入力",IF(COUNTIF(AC667:AH667,0)=6,"一致","差分あり")))</f>
        <v/>
      </c>
      <c r="AJ66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7" s="19" t="inlineStr"/>
      <c r="AL667" s="18" t="inlineStr">
        <is>
          <t>2026-06-29</t>
        </is>
      </c>
    </row>
    <row r="668" ht="22" customHeight="1">
      <c r="A668" s="17" t="inlineStr">
        <is>
          <t>1008502-LB10</t>
        </is>
      </c>
      <c r="B668" s="18" t="n">
        <v>1008502</v>
      </c>
      <c r="C668" s="17" t="inlineStr">
        <is>
          <t>MdAngelis02</t>
        </is>
      </c>
      <c r="D668" s="17" t="inlineStr">
        <is>
          <t>MdAngelis</t>
        </is>
      </c>
      <c r="E668" s="17" t="inlineStr">
        <is>
          <t>マリア・デ・アンジェリス</t>
        </is>
      </c>
      <c r="F668" s="19" t="inlineStr">
        <is>
          <t>罪と栄光</t>
        </is>
      </c>
      <c r="G668" s="18" t="inlineStr">
        <is>
          <t>S</t>
        </is>
      </c>
      <c r="H668" s="17" t="inlineStr">
        <is>
          <t>Healer</t>
        </is>
      </c>
      <c r="I668" s="18" t="n">
        <v>10</v>
      </c>
      <c r="J668" s="18" t="n">
        <v>10</v>
      </c>
      <c r="K668" s="18" t="n">
        <v>378</v>
      </c>
      <c r="L668" s="18" t="n">
        <v>403</v>
      </c>
      <c r="M668" s="18" t="n">
        <v>401</v>
      </c>
      <c r="N668" s="18" t="n">
        <v>381</v>
      </c>
      <c r="O668" s="18" t="n">
        <v>408</v>
      </c>
      <c r="P668" s="18" t="n">
        <v>376</v>
      </c>
      <c r="Q668" s="18" t="n">
        <v>38</v>
      </c>
      <c r="R668" s="18" t="n">
        <v>41</v>
      </c>
      <c r="S668" s="18" t="n">
        <v>41</v>
      </c>
      <c r="T668" s="18" t="n">
        <v>39</v>
      </c>
      <c r="U668" s="18" t="n">
        <v>41</v>
      </c>
      <c r="V668" s="18" t="n">
        <v>38</v>
      </c>
      <c r="W668" s="20" t="n"/>
      <c r="X668" s="20" t="n"/>
      <c r="Y668" s="20" t="n"/>
      <c r="Z668" s="20" t="n"/>
      <c r="AA668" s="20" t="n"/>
      <c r="AB668" s="20" t="n"/>
      <c r="AC668" s="21">
        <f>IF(W668="","",W668-K668)</f>
        <v/>
      </c>
      <c r="AD668" s="21">
        <f>IF(X668="","",X668-L668)</f>
        <v/>
      </c>
      <c r="AE668" s="21">
        <f>IF(Y668="","",Y668-M668)</f>
        <v/>
      </c>
      <c r="AF668" s="21">
        <f>IF(Z668="","",Z668-N668)</f>
        <v/>
      </c>
      <c r="AG668" s="21">
        <f>IF(AA668="","",AA668-O668)</f>
        <v/>
      </c>
      <c r="AH668" s="21">
        <f>IF(AB668="","",AB668-P668)</f>
        <v/>
      </c>
      <c r="AI668" s="18">
        <f>IF(COUNTA(W668:AB668)=0,"未入力",IF(COUNTA(W668:AB668)&lt;6,"一部入力",IF(COUNTIF(AC668:AH668,0)=6,"一致","差分あり")))</f>
        <v/>
      </c>
      <c r="AJ66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8" s="19" t="inlineStr"/>
      <c r="AL668" s="18" t="inlineStr">
        <is>
          <t>2026-06-29</t>
        </is>
      </c>
    </row>
    <row r="669" ht="22" customHeight="1">
      <c r="A669" s="17" t="inlineStr">
        <is>
          <t>1008503-LB0</t>
        </is>
      </c>
      <c r="B669" s="18" t="n">
        <v>1008503</v>
      </c>
      <c r="C669" s="17" t="inlineStr">
        <is>
          <t>MdAngelis03</t>
        </is>
      </c>
      <c r="D669" s="17" t="inlineStr">
        <is>
          <t>MdAngelis</t>
        </is>
      </c>
      <c r="E669" s="17" t="inlineStr">
        <is>
          <t>マリア・デ・アンジェリス</t>
        </is>
      </c>
      <c r="F669" s="19" t="inlineStr">
        <is>
          <t>ブラッド・レリーフ</t>
        </is>
      </c>
      <c r="G669" s="18" t="inlineStr">
        <is>
          <t>SS</t>
        </is>
      </c>
      <c r="H669" s="17" t="inlineStr">
        <is>
          <t>Healer</t>
        </is>
      </c>
      <c r="I669" s="18" t="n">
        <v>0</v>
      </c>
      <c r="J669" s="18" t="n">
        <v>4</v>
      </c>
      <c r="K669" s="18" t="n">
        <v>383</v>
      </c>
      <c r="L669" s="18" t="n">
        <v>366</v>
      </c>
      <c r="M669" s="18" t="n">
        <v>430</v>
      </c>
      <c r="N669" s="18" t="n">
        <v>399</v>
      </c>
      <c r="O669" s="18" t="n">
        <v>358</v>
      </c>
      <c r="P669" s="18" t="n">
        <v>336</v>
      </c>
      <c r="Q669" s="18" t="n">
        <v>39</v>
      </c>
      <c r="R669" s="18" t="n">
        <v>37</v>
      </c>
      <c r="S669" s="18" t="n">
        <v>43</v>
      </c>
      <c r="T669" s="18" t="n">
        <v>40</v>
      </c>
      <c r="U669" s="18" t="n">
        <v>36</v>
      </c>
      <c r="V669" s="18" t="n">
        <v>34</v>
      </c>
      <c r="W669" s="20" t="n"/>
      <c r="X669" s="20" t="n"/>
      <c r="Y669" s="20" t="n"/>
      <c r="Z669" s="20" t="n"/>
      <c r="AA669" s="20" t="n"/>
      <c r="AB669" s="20" t="n"/>
      <c r="AC669" s="21">
        <f>IF(W669="","",W669-K669)</f>
        <v/>
      </c>
      <c r="AD669" s="21">
        <f>IF(X669="","",X669-L669)</f>
        <v/>
      </c>
      <c r="AE669" s="21">
        <f>IF(Y669="","",Y669-M669)</f>
        <v/>
      </c>
      <c r="AF669" s="21">
        <f>IF(Z669="","",Z669-N669)</f>
        <v/>
      </c>
      <c r="AG669" s="21">
        <f>IF(AA669="","",AA669-O669)</f>
        <v/>
      </c>
      <c r="AH669" s="21">
        <f>IF(AB669="","",AB669-P669)</f>
        <v/>
      </c>
      <c r="AI669" s="18">
        <f>IF(COUNTA(W669:AB669)=0,"未入力",IF(COUNTA(W669:AB669)&lt;6,"一部入力",IF(COUNTIF(AC669:AH669,0)=6,"一致","差分あり")))</f>
        <v/>
      </c>
      <c r="AJ66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69" s="19" t="inlineStr"/>
      <c r="AL669" s="18" t="inlineStr">
        <is>
          <t>2026-06-29</t>
        </is>
      </c>
    </row>
    <row r="670" ht="22" customHeight="1">
      <c r="A670" s="17" t="inlineStr">
        <is>
          <t>1008503-LB4</t>
        </is>
      </c>
      <c r="B670" s="18" t="n">
        <v>1008503</v>
      </c>
      <c r="C670" s="17" t="inlineStr">
        <is>
          <t>MdAngelis03</t>
        </is>
      </c>
      <c r="D670" s="17" t="inlineStr">
        <is>
          <t>MdAngelis</t>
        </is>
      </c>
      <c r="E670" s="17" t="inlineStr">
        <is>
          <t>マリア・デ・アンジェリス</t>
        </is>
      </c>
      <c r="F670" s="19" t="inlineStr">
        <is>
          <t>ブラッド・レリーフ</t>
        </is>
      </c>
      <c r="G670" s="18" t="inlineStr">
        <is>
          <t>SS</t>
        </is>
      </c>
      <c r="H670" s="17" t="inlineStr">
        <is>
          <t>Healer</t>
        </is>
      </c>
      <c r="I670" s="18" t="n">
        <v>4</v>
      </c>
      <c r="J670" s="18" t="n">
        <v>4</v>
      </c>
      <c r="K670" s="18" t="n">
        <v>472</v>
      </c>
      <c r="L670" s="18" t="n">
        <v>451</v>
      </c>
      <c r="M670" s="18" t="n">
        <v>522</v>
      </c>
      <c r="N670" s="18" t="n">
        <v>489</v>
      </c>
      <c r="O670" s="18" t="n">
        <v>444</v>
      </c>
      <c r="P670" s="18" t="n">
        <v>422</v>
      </c>
      <c r="Q670" s="18" t="n">
        <v>48</v>
      </c>
      <c r="R670" s="18" t="n">
        <v>46</v>
      </c>
      <c r="S670" s="18" t="n">
        <v>53</v>
      </c>
      <c r="T670" s="18" t="n">
        <v>49</v>
      </c>
      <c r="U670" s="18" t="n">
        <v>45</v>
      </c>
      <c r="V670" s="18" t="n">
        <v>43</v>
      </c>
      <c r="W670" s="20" t="n"/>
      <c r="X670" s="20" t="n"/>
      <c r="Y670" s="20" t="n"/>
      <c r="Z670" s="20" t="n"/>
      <c r="AA670" s="20" t="n"/>
      <c r="AB670" s="20" t="n"/>
      <c r="AC670" s="21">
        <f>IF(W670="","",W670-K670)</f>
        <v/>
      </c>
      <c r="AD670" s="21">
        <f>IF(X670="","",X670-L670)</f>
        <v/>
      </c>
      <c r="AE670" s="21">
        <f>IF(Y670="","",Y670-M670)</f>
        <v/>
      </c>
      <c r="AF670" s="21">
        <f>IF(Z670="","",Z670-N670)</f>
        <v/>
      </c>
      <c r="AG670" s="21">
        <f>IF(AA670="","",AA670-O670)</f>
        <v/>
      </c>
      <c r="AH670" s="21">
        <f>IF(AB670="","",AB670-P670)</f>
        <v/>
      </c>
      <c r="AI670" s="18">
        <f>IF(COUNTA(W670:AB670)=0,"未入力",IF(COUNTA(W670:AB670)&lt;6,"一部入力",IF(COUNTIF(AC670:AH670,0)=6,"一致","差分あり")))</f>
        <v/>
      </c>
      <c r="AJ67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0" s="19" t="inlineStr"/>
      <c r="AL670" s="18" t="inlineStr">
        <is>
          <t>2026-06-29</t>
        </is>
      </c>
    </row>
    <row r="671" ht="22" customHeight="1">
      <c r="A671" s="17" t="inlineStr">
        <is>
          <t>1008504-LB0</t>
        </is>
      </c>
      <c r="B671" s="18" t="n">
        <v>1008504</v>
      </c>
      <c r="C671" s="17" t="inlineStr">
        <is>
          <t>MdAngelis04</t>
        </is>
      </c>
      <c r="D671" s="17" t="inlineStr">
        <is>
          <t>MdAngelis</t>
        </is>
      </c>
      <c r="E671" s="17" t="inlineStr">
        <is>
          <t>マリア・デ・アンジェリス</t>
        </is>
      </c>
      <c r="F671" s="19" t="inlineStr">
        <is>
          <t>刹那の邂逅</t>
        </is>
      </c>
      <c r="G671" s="18" t="inlineStr">
        <is>
          <t>SS</t>
        </is>
      </c>
      <c r="H671" s="17" t="inlineStr">
        <is>
          <t>Healer</t>
        </is>
      </c>
      <c r="I671" s="18" t="n">
        <v>0</v>
      </c>
      <c r="J671" s="18" t="n">
        <v>4</v>
      </c>
      <c r="K671" s="18" t="n">
        <v>405</v>
      </c>
      <c r="L671" s="18" t="n">
        <v>387</v>
      </c>
      <c r="M671" s="18" t="n">
        <v>453</v>
      </c>
      <c r="N671" s="18" t="n">
        <v>422</v>
      </c>
      <c r="O671" s="18" t="n">
        <v>379</v>
      </c>
      <c r="P671" s="18" t="n">
        <v>358</v>
      </c>
      <c r="Q671" s="18" t="n">
        <v>41</v>
      </c>
      <c r="R671" s="18" t="n">
        <v>39</v>
      </c>
      <c r="S671" s="18" t="n">
        <v>46</v>
      </c>
      <c r="T671" s="18" t="n">
        <v>43</v>
      </c>
      <c r="U671" s="18" t="n">
        <v>38</v>
      </c>
      <c r="V671" s="18" t="n">
        <v>36</v>
      </c>
      <c r="W671" s="20" t="n"/>
      <c r="X671" s="20" t="n"/>
      <c r="Y671" s="20" t="n"/>
      <c r="Z671" s="20" t="n"/>
      <c r="AA671" s="20" t="n"/>
      <c r="AB671" s="20" t="n"/>
      <c r="AC671" s="21">
        <f>IF(W671="","",W671-K671)</f>
        <v/>
      </c>
      <c r="AD671" s="21">
        <f>IF(X671="","",X671-L671)</f>
        <v/>
      </c>
      <c r="AE671" s="21">
        <f>IF(Y671="","",Y671-M671)</f>
        <v/>
      </c>
      <c r="AF671" s="21">
        <f>IF(Z671="","",Z671-N671)</f>
        <v/>
      </c>
      <c r="AG671" s="21">
        <f>IF(AA671="","",AA671-O671)</f>
        <v/>
      </c>
      <c r="AH671" s="21">
        <f>IF(AB671="","",AB671-P671)</f>
        <v/>
      </c>
      <c r="AI671" s="18">
        <f>IF(COUNTA(W671:AB671)=0,"未入力",IF(COUNTA(W671:AB671)&lt;6,"一部入力",IF(COUNTIF(AC671:AH671,0)=6,"一致","差分あり")))</f>
        <v/>
      </c>
      <c r="AJ67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1" s="19" t="inlineStr"/>
      <c r="AL671" s="18" t="inlineStr">
        <is>
          <t>2026-06-29</t>
        </is>
      </c>
    </row>
    <row r="672" ht="22" customHeight="1">
      <c r="A672" s="17" t="inlineStr">
        <is>
          <t>1008504-LB4</t>
        </is>
      </c>
      <c r="B672" s="18" t="n">
        <v>1008504</v>
      </c>
      <c r="C672" s="17" t="inlineStr">
        <is>
          <t>MdAngelis04</t>
        </is>
      </c>
      <c r="D672" s="17" t="inlineStr">
        <is>
          <t>MdAngelis</t>
        </is>
      </c>
      <c r="E672" s="17" t="inlineStr">
        <is>
          <t>マリア・デ・アンジェリス</t>
        </is>
      </c>
      <c r="F672" s="19" t="inlineStr">
        <is>
          <t>刹那の邂逅</t>
        </is>
      </c>
      <c r="G672" s="18" t="inlineStr">
        <is>
          <t>SS</t>
        </is>
      </c>
      <c r="H672" s="17" t="inlineStr">
        <is>
          <t>Healer</t>
        </is>
      </c>
      <c r="I672" s="18" t="n">
        <v>4</v>
      </c>
      <c r="J672" s="18" t="n">
        <v>4</v>
      </c>
      <c r="K672" s="18" t="n">
        <v>495</v>
      </c>
      <c r="L672" s="18" t="n">
        <v>472</v>
      </c>
      <c r="M672" s="18" t="n">
        <v>545</v>
      </c>
      <c r="N672" s="18" t="n">
        <v>512</v>
      </c>
      <c r="O672" s="18" t="n">
        <v>465</v>
      </c>
      <c r="P672" s="18" t="n">
        <v>444</v>
      </c>
      <c r="Q672" s="18" t="n">
        <v>50</v>
      </c>
      <c r="R672" s="18" t="n">
        <v>48</v>
      </c>
      <c r="S672" s="18" t="n">
        <v>55</v>
      </c>
      <c r="T672" s="18" t="n">
        <v>52</v>
      </c>
      <c r="U672" s="18" t="n">
        <v>47</v>
      </c>
      <c r="V672" s="18" t="n">
        <v>45</v>
      </c>
      <c r="W672" s="20" t="n"/>
      <c r="X672" s="20" t="n"/>
      <c r="Y672" s="20" t="n"/>
      <c r="Z672" s="20" t="n"/>
      <c r="AA672" s="20" t="n"/>
      <c r="AB672" s="20" t="n"/>
      <c r="AC672" s="21">
        <f>IF(W672="","",W672-K672)</f>
        <v/>
      </c>
      <c r="AD672" s="21">
        <f>IF(X672="","",X672-L672)</f>
        <v/>
      </c>
      <c r="AE672" s="21">
        <f>IF(Y672="","",Y672-M672)</f>
        <v/>
      </c>
      <c r="AF672" s="21">
        <f>IF(Z672="","",Z672-N672)</f>
        <v/>
      </c>
      <c r="AG672" s="21">
        <f>IF(AA672="","",AA672-O672)</f>
        <v/>
      </c>
      <c r="AH672" s="21">
        <f>IF(AB672="","",AB672-P672)</f>
        <v/>
      </c>
      <c r="AI672" s="18">
        <f>IF(COUNTA(W672:AB672)=0,"未入力",IF(COUNTA(W672:AB672)&lt;6,"一部入力",IF(COUNTIF(AC672:AH672,0)=6,"一致","差分あり")))</f>
        <v/>
      </c>
      <c r="AJ67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2" s="19" t="inlineStr"/>
      <c r="AL672" s="18" t="inlineStr">
        <is>
          <t>2026-06-29</t>
        </is>
      </c>
    </row>
    <row r="673" ht="22" customHeight="1">
      <c r="A673" s="17" t="inlineStr">
        <is>
          <t>1008505-LB0</t>
        </is>
      </c>
      <c r="B673" s="18" t="n">
        <v>1008505</v>
      </c>
      <c r="C673" s="17" t="inlineStr">
        <is>
          <t>MdAngelis05</t>
        </is>
      </c>
      <c r="D673" s="17" t="inlineStr">
        <is>
          <t>MdAngelis</t>
        </is>
      </c>
      <c r="E673" s="17" t="inlineStr">
        <is>
          <t>マリア・デ・アンジェリス</t>
        </is>
      </c>
      <c r="F673" s="19" t="inlineStr">
        <is>
          <t>ヴァカンザ・エレガンテ</t>
        </is>
      </c>
      <c r="G673" s="18" t="inlineStr">
        <is>
          <t>SS</t>
        </is>
      </c>
      <c r="H673" s="17" t="inlineStr">
        <is>
          <t>Attacker</t>
        </is>
      </c>
      <c r="I673" s="18" t="n">
        <v>0</v>
      </c>
      <c r="J673" s="18" t="n">
        <v>4</v>
      </c>
      <c r="K673" s="18" t="n">
        <v>405</v>
      </c>
      <c r="L673" s="18" t="n">
        <v>387</v>
      </c>
      <c r="M673" s="18" t="n">
        <v>453</v>
      </c>
      <c r="N673" s="18" t="n">
        <v>422</v>
      </c>
      <c r="O673" s="18" t="n">
        <v>379</v>
      </c>
      <c r="P673" s="18" t="n">
        <v>358</v>
      </c>
      <c r="Q673" s="18" t="n">
        <v>41</v>
      </c>
      <c r="R673" s="18" t="n">
        <v>39</v>
      </c>
      <c r="S673" s="18" t="n">
        <v>46</v>
      </c>
      <c r="T673" s="18" t="n">
        <v>43</v>
      </c>
      <c r="U673" s="18" t="n">
        <v>38</v>
      </c>
      <c r="V673" s="18" t="n">
        <v>36</v>
      </c>
      <c r="W673" s="20" t="n"/>
      <c r="X673" s="20" t="n"/>
      <c r="Y673" s="20" t="n"/>
      <c r="Z673" s="20" t="n"/>
      <c r="AA673" s="20" t="n"/>
      <c r="AB673" s="20" t="n"/>
      <c r="AC673" s="21">
        <f>IF(W673="","",W673-K673)</f>
        <v/>
      </c>
      <c r="AD673" s="21">
        <f>IF(X673="","",X673-L673)</f>
        <v/>
      </c>
      <c r="AE673" s="21">
        <f>IF(Y673="","",Y673-M673)</f>
        <v/>
      </c>
      <c r="AF673" s="21">
        <f>IF(Z673="","",Z673-N673)</f>
        <v/>
      </c>
      <c r="AG673" s="21">
        <f>IF(AA673="","",AA673-O673)</f>
        <v/>
      </c>
      <c r="AH673" s="21">
        <f>IF(AB673="","",AB673-P673)</f>
        <v/>
      </c>
      <c r="AI673" s="18">
        <f>IF(COUNTA(W673:AB673)=0,"未入力",IF(COUNTA(W673:AB673)&lt;6,"一部入力",IF(COUNTIF(AC673:AH673,0)=6,"一致","差分あり")))</f>
        <v/>
      </c>
      <c r="AJ67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3" s="19" t="inlineStr"/>
      <c r="AL673" s="18" t="inlineStr">
        <is>
          <t>2026-06-29</t>
        </is>
      </c>
    </row>
    <row r="674" ht="22" customHeight="1">
      <c r="A674" s="17" t="inlineStr">
        <is>
          <t>1008505-LB4</t>
        </is>
      </c>
      <c r="B674" s="18" t="n">
        <v>1008505</v>
      </c>
      <c r="C674" s="17" t="inlineStr">
        <is>
          <t>MdAngelis05</t>
        </is>
      </c>
      <c r="D674" s="17" t="inlineStr">
        <is>
          <t>MdAngelis</t>
        </is>
      </c>
      <c r="E674" s="17" t="inlineStr">
        <is>
          <t>マリア・デ・アンジェリス</t>
        </is>
      </c>
      <c r="F674" s="19" t="inlineStr">
        <is>
          <t>ヴァカンザ・エレガンテ</t>
        </is>
      </c>
      <c r="G674" s="18" t="inlineStr">
        <is>
          <t>SS</t>
        </is>
      </c>
      <c r="H674" s="17" t="inlineStr">
        <is>
          <t>Attacker</t>
        </is>
      </c>
      <c r="I674" s="18" t="n">
        <v>4</v>
      </c>
      <c r="J674" s="18" t="n">
        <v>4</v>
      </c>
      <c r="K674" s="18" t="n">
        <v>495</v>
      </c>
      <c r="L674" s="18" t="n">
        <v>472</v>
      </c>
      <c r="M674" s="18" t="n">
        <v>545</v>
      </c>
      <c r="N674" s="18" t="n">
        <v>512</v>
      </c>
      <c r="O674" s="18" t="n">
        <v>465</v>
      </c>
      <c r="P674" s="18" t="n">
        <v>444</v>
      </c>
      <c r="Q674" s="18" t="n">
        <v>50</v>
      </c>
      <c r="R674" s="18" t="n">
        <v>48</v>
      </c>
      <c r="S674" s="18" t="n">
        <v>55</v>
      </c>
      <c r="T674" s="18" t="n">
        <v>52</v>
      </c>
      <c r="U674" s="18" t="n">
        <v>47</v>
      </c>
      <c r="V674" s="18" t="n">
        <v>45</v>
      </c>
      <c r="W674" s="20" t="n"/>
      <c r="X674" s="20" t="n"/>
      <c r="Y674" s="20" t="n"/>
      <c r="Z674" s="20" t="n"/>
      <c r="AA674" s="20" t="n"/>
      <c r="AB674" s="20" t="n"/>
      <c r="AC674" s="21">
        <f>IF(W674="","",W674-K674)</f>
        <v/>
      </c>
      <c r="AD674" s="21">
        <f>IF(X674="","",X674-L674)</f>
        <v/>
      </c>
      <c r="AE674" s="21">
        <f>IF(Y674="","",Y674-M674)</f>
        <v/>
      </c>
      <c r="AF674" s="21">
        <f>IF(Z674="","",Z674-N674)</f>
        <v/>
      </c>
      <c r="AG674" s="21">
        <f>IF(AA674="","",AA674-O674)</f>
        <v/>
      </c>
      <c r="AH674" s="21">
        <f>IF(AB674="","",AB674-P674)</f>
        <v/>
      </c>
      <c r="AI674" s="18">
        <f>IF(COUNTA(W674:AB674)=0,"未入力",IF(COUNTA(W674:AB674)&lt;6,"一部入力",IF(COUNTIF(AC674:AH674,0)=6,"一致","差分あり")))</f>
        <v/>
      </c>
      <c r="AJ67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4" s="19" t="inlineStr"/>
      <c r="AL674" s="18" t="inlineStr">
        <is>
          <t>2026-06-29</t>
        </is>
      </c>
    </row>
    <row r="675" ht="22" customHeight="1">
      <c r="A675" s="17" t="inlineStr">
        <is>
          <t>1008506-LB0</t>
        </is>
      </c>
      <c r="B675" s="18" t="n">
        <v>1008506</v>
      </c>
      <c r="C675" s="17" t="inlineStr">
        <is>
          <t>MdAngelis06</t>
        </is>
      </c>
      <c r="D675" s="17" t="inlineStr">
        <is>
          <t>MdAngelis</t>
        </is>
      </c>
      <c r="E675" s="17" t="inlineStr">
        <is>
          <t>マリア・デ・アンジェリス</t>
        </is>
      </c>
      <c r="F675" s="19" t="inlineStr">
        <is>
          <t>ライム・アンド・ストロベリー</t>
        </is>
      </c>
      <c r="G675" s="18" t="inlineStr">
        <is>
          <t>S</t>
        </is>
      </c>
      <c r="H675" s="17" t="inlineStr">
        <is>
          <t>Attacker</t>
        </is>
      </c>
      <c r="I675" s="18" t="n">
        <v>0</v>
      </c>
      <c r="J675" s="18" t="n">
        <v>10</v>
      </c>
      <c r="K675" s="18" t="n">
        <v>353</v>
      </c>
      <c r="L675" s="18" t="n">
        <v>297</v>
      </c>
      <c r="M675" s="18" t="n">
        <v>320</v>
      </c>
      <c r="N675" s="18" t="n">
        <v>325</v>
      </c>
      <c r="O675" s="18" t="n">
        <v>312</v>
      </c>
      <c r="P675" s="18" t="n">
        <v>344</v>
      </c>
      <c r="Q675" s="18" t="n">
        <v>36</v>
      </c>
      <c r="R675" s="18" t="n">
        <v>30</v>
      </c>
      <c r="S675" s="18" t="n">
        <v>32</v>
      </c>
      <c r="T675" s="18" t="n">
        <v>33</v>
      </c>
      <c r="U675" s="18" t="n">
        <v>32</v>
      </c>
      <c r="V675" s="18" t="n">
        <v>35</v>
      </c>
      <c r="W675" s="20" t="n"/>
      <c r="X675" s="20" t="n"/>
      <c r="Y675" s="20" t="n"/>
      <c r="Z675" s="20" t="n"/>
      <c r="AA675" s="20" t="n"/>
      <c r="AB675" s="20" t="n"/>
      <c r="AC675" s="21">
        <f>IF(W675="","",W675-K675)</f>
        <v/>
      </c>
      <c r="AD675" s="21">
        <f>IF(X675="","",X675-L675)</f>
        <v/>
      </c>
      <c r="AE675" s="21">
        <f>IF(Y675="","",Y675-M675)</f>
        <v/>
      </c>
      <c r="AF675" s="21">
        <f>IF(Z675="","",Z675-N675)</f>
        <v/>
      </c>
      <c r="AG675" s="21">
        <f>IF(AA675="","",AA675-O675)</f>
        <v/>
      </c>
      <c r="AH675" s="21">
        <f>IF(AB675="","",AB675-P675)</f>
        <v/>
      </c>
      <c r="AI675" s="18">
        <f>IF(COUNTA(W675:AB675)=0,"未入力",IF(COUNTA(W675:AB675)&lt;6,"一部入力",IF(COUNTIF(AC675:AH675,0)=6,"一致","差分あり")))</f>
        <v/>
      </c>
      <c r="AJ67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5" s="19" t="inlineStr"/>
      <c r="AL675" s="18" t="inlineStr">
        <is>
          <t>2026-06-29</t>
        </is>
      </c>
    </row>
    <row r="676" ht="22" customHeight="1">
      <c r="A676" s="17" t="inlineStr">
        <is>
          <t>1008506-LB10</t>
        </is>
      </c>
      <c r="B676" s="18" t="n">
        <v>1008506</v>
      </c>
      <c r="C676" s="17" t="inlineStr">
        <is>
          <t>MdAngelis06</t>
        </is>
      </c>
      <c r="D676" s="17" t="inlineStr">
        <is>
          <t>MdAngelis</t>
        </is>
      </c>
      <c r="E676" s="17" t="inlineStr">
        <is>
          <t>マリア・デ・アンジェリス</t>
        </is>
      </c>
      <c r="F676" s="19" t="inlineStr">
        <is>
          <t>ライム・アンド・ストロベリー</t>
        </is>
      </c>
      <c r="G676" s="18" t="inlineStr">
        <is>
          <t>S</t>
        </is>
      </c>
      <c r="H676" s="17" t="inlineStr">
        <is>
          <t>Attacker</t>
        </is>
      </c>
      <c r="I676" s="18" t="n">
        <v>10</v>
      </c>
      <c r="J676" s="18" t="n">
        <v>10</v>
      </c>
      <c r="K676" s="18" t="n">
        <v>423</v>
      </c>
      <c r="L676" s="18" t="n">
        <v>361</v>
      </c>
      <c r="M676" s="18" t="n">
        <v>389</v>
      </c>
      <c r="N676" s="18" t="n">
        <v>393</v>
      </c>
      <c r="O676" s="18" t="n">
        <v>376</v>
      </c>
      <c r="P676" s="18" t="n">
        <v>408</v>
      </c>
      <c r="Q676" s="18" t="n">
        <v>43</v>
      </c>
      <c r="R676" s="18" t="n">
        <v>37</v>
      </c>
      <c r="S676" s="18" t="n">
        <v>39</v>
      </c>
      <c r="T676" s="18" t="n">
        <v>40</v>
      </c>
      <c r="U676" s="18" t="n">
        <v>38</v>
      </c>
      <c r="V676" s="18" t="n">
        <v>41</v>
      </c>
      <c r="W676" s="20" t="n"/>
      <c r="X676" s="20" t="n"/>
      <c r="Y676" s="20" t="n"/>
      <c r="Z676" s="20" t="n"/>
      <c r="AA676" s="20" t="n"/>
      <c r="AB676" s="20" t="n"/>
      <c r="AC676" s="21">
        <f>IF(W676="","",W676-K676)</f>
        <v/>
      </c>
      <c r="AD676" s="21">
        <f>IF(X676="","",X676-L676)</f>
        <v/>
      </c>
      <c r="AE676" s="21">
        <f>IF(Y676="","",Y676-M676)</f>
        <v/>
      </c>
      <c r="AF676" s="21">
        <f>IF(Z676="","",Z676-N676)</f>
        <v/>
      </c>
      <c r="AG676" s="21">
        <f>IF(AA676="","",AA676-O676)</f>
        <v/>
      </c>
      <c r="AH676" s="21">
        <f>IF(AB676="","",AB676-P676)</f>
        <v/>
      </c>
      <c r="AI676" s="18">
        <f>IF(COUNTA(W676:AB676)=0,"未入力",IF(COUNTA(W676:AB676)&lt;6,"一部入力",IF(COUNTIF(AC676:AH676,0)=6,"一致","差分あり")))</f>
        <v/>
      </c>
      <c r="AJ67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6" s="19" t="inlineStr"/>
      <c r="AL676" s="18" t="inlineStr">
        <is>
          <t>2026-06-29</t>
        </is>
      </c>
    </row>
    <row r="677" ht="22" customHeight="1">
      <c r="A677" s="17" t="inlineStr">
        <is>
          <t>1008507-LB0</t>
        </is>
      </c>
      <c r="B677" s="18" t="n">
        <v>1008507</v>
      </c>
      <c r="C677" s="17" t="inlineStr">
        <is>
          <t>MdAngelis07</t>
        </is>
      </c>
      <c r="D677" s="17" t="inlineStr">
        <is>
          <t>MdAngelis</t>
        </is>
      </c>
      <c r="E677" s="17" t="inlineStr">
        <is>
          <t>マリア・デ・アンジェリス</t>
        </is>
      </c>
      <c r="F677" s="19" t="inlineStr">
        <is>
          <t>ドルチェ・ベネディツィオーネ</t>
        </is>
      </c>
      <c r="G677" s="18" t="inlineStr">
        <is>
          <t>SS</t>
        </is>
      </c>
      <c r="H677" s="17" t="inlineStr">
        <is>
          <t>Healer</t>
        </is>
      </c>
      <c r="I677" s="18" t="n">
        <v>0</v>
      </c>
      <c r="J677" s="18" t="n">
        <v>4</v>
      </c>
      <c r="K677" s="18" t="n">
        <v>405</v>
      </c>
      <c r="L677" s="18" t="n">
        <v>387</v>
      </c>
      <c r="M677" s="18" t="n">
        <v>453</v>
      </c>
      <c r="N677" s="18" t="n">
        <v>422</v>
      </c>
      <c r="O677" s="18" t="n">
        <v>379</v>
      </c>
      <c r="P677" s="18" t="n">
        <v>358</v>
      </c>
      <c r="Q677" s="18" t="n">
        <v>41</v>
      </c>
      <c r="R677" s="18" t="n">
        <v>39</v>
      </c>
      <c r="S677" s="18" t="n">
        <v>46</v>
      </c>
      <c r="T677" s="18" t="n">
        <v>43</v>
      </c>
      <c r="U677" s="18" t="n">
        <v>38</v>
      </c>
      <c r="V677" s="18" t="n">
        <v>36</v>
      </c>
      <c r="W677" s="20" t="n"/>
      <c r="X677" s="20" t="n"/>
      <c r="Y677" s="20" t="n"/>
      <c r="Z677" s="20" t="n"/>
      <c r="AA677" s="20" t="n"/>
      <c r="AB677" s="20" t="n"/>
      <c r="AC677" s="21">
        <f>IF(W677="","",W677-K677)</f>
        <v/>
      </c>
      <c r="AD677" s="21">
        <f>IF(X677="","",X677-L677)</f>
        <v/>
      </c>
      <c r="AE677" s="21">
        <f>IF(Y677="","",Y677-M677)</f>
        <v/>
      </c>
      <c r="AF677" s="21">
        <f>IF(Z677="","",Z677-N677)</f>
        <v/>
      </c>
      <c r="AG677" s="21">
        <f>IF(AA677="","",AA677-O677)</f>
        <v/>
      </c>
      <c r="AH677" s="21">
        <f>IF(AB677="","",AB677-P677)</f>
        <v/>
      </c>
      <c r="AI677" s="18">
        <f>IF(COUNTA(W677:AB677)=0,"未入力",IF(COUNTA(W677:AB677)&lt;6,"一部入力",IF(COUNTIF(AC677:AH677,0)=6,"一致","差分あり")))</f>
        <v/>
      </c>
      <c r="AJ67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7" s="19" t="inlineStr"/>
      <c r="AL677" s="18" t="inlineStr">
        <is>
          <t>2026-06-29</t>
        </is>
      </c>
    </row>
    <row r="678" ht="22" customHeight="1">
      <c r="A678" s="17" t="inlineStr">
        <is>
          <t>1008507-LB4</t>
        </is>
      </c>
      <c r="B678" s="18" t="n">
        <v>1008507</v>
      </c>
      <c r="C678" s="17" t="inlineStr">
        <is>
          <t>MdAngelis07</t>
        </is>
      </c>
      <c r="D678" s="17" t="inlineStr">
        <is>
          <t>MdAngelis</t>
        </is>
      </c>
      <c r="E678" s="17" t="inlineStr">
        <is>
          <t>マリア・デ・アンジェリス</t>
        </is>
      </c>
      <c r="F678" s="19" t="inlineStr">
        <is>
          <t>ドルチェ・ベネディツィオーネ</t>
        </is>
      </c>
      <c r="G678" s="18" t="inlineStr">
        <is>
          <t>SS</t>
        </is>
      </c>
      <c r="H678" s="17" t="inlineStr">
        <is>
          <t>Healer</t>
        </is>
      </c>
      <c r="I678" s="18" t="n">
        <v>4</v>
      </c>
      <c r="J678" s="18" t="n">
        <v>4</v>
      </c>
      <c r="K678" s="18" t="n">
        <v>495</v>
      </c>
      <c r="L678" s="18" t="n">
        <v>472</v>
      </c>
      <c r="M678" s="18" t="n">
        <v>545</v>
      </c>
      <c r="N678" s="18" t="n">
        <v>512</v>
      </c>
      <c r="O678" s="18" t="n">
        <v>465</v>
      </c>
      <c r="P678" s="18" t="n">
        <v>444</v>
      </c>
      <c r="Q678" s="18" t="n">
        <v>50</v>
      </c>
      <c r="R678" s="18" t="n">
        <v>48</v>
      </c>
      <c r="S678" s="18" t="n">
        <v>55</v>
      </c>
      <c r="T678" s="18" t="n">
        <v>52</v>
      </c>
      <c r="U678" s="18" t="n">
        <v>47</v>
      </c>
      <c r="V678" s="18" t="n">
        <v>45</v>
      </c>
      <c r="W678" s="20" t="n"/>
      <c r="X678" s="20" t="n"/>
      <c r="Y678" s="20" t="n"/>
      <c r="Z678" s="20" t="n"/>
      <c r="AA678" s="20" t="n"/>
      <c r="AB678" s="20" t="n"/>
      <c r="AC678" s="21">
        <f>IF(W678="","",W678-K678)</f>
        <v/>
      </c>
      <c r="AD678" s="21">
        <f>IF(X678="","",X678-L678)</f>
        <v/>
      </c>
      <c r="AE678" s="21">
        <f>IF(Y678="","",Y678-M678)</f>
        <v/>
      </c>
      <c r="AF678" s="21">
        <f>IF(Z678="","",Z678-N678)</f>
        <v/>
      </c>
      <c r="AG678" s="21">
        <f>IF(AA678="","",AA678-O678)</f>
        <v/>
      </c>
      <c r="AH678" s="21">
        <f>IF(AB678="","",AB678-P678)</f>
        <v/>
      </c>
      <c r="AI678" s="18">
        <f>IF(COUNTA(W678:AB678)=0,"未入力",IF(COUNTA(W678:AB678)&lt;6,"一部入力",IF(COUNTIF(AC678:AH678,0)=6,"一致","差分あり")))</f>
        <v/>
      </c>
      <c r="AJ67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8" s="19" t="inlineStr"/>
      <c r="AL678" s="18" t="inlineStr">
        <is>
          <t>2026-06-29</t>
        </is>
      </c>
    </row>
    <row r="679" ht="22" customHeight="1">
      <c r="A679" s="17" t="inlineStr">
        <is>
          <t>1008601-LB0</t>
        </is>
      </c>
      <c r="B679" s="18" t="n">
        <v>1008601</v>
      </c>
      <c r="C679" s="17" t="inlineStr">
        <is>
          <t>CSkopovskaya01</t>
        </is>
      </c>
      <c r="D679" s="17" t="inlineStr">
        <is>
          <t>CSkopovskaya</t>
        </is>
      </c>
      <c r="E679" s="17" t="inlineStr">
        <is>
          <t>シャルロッタ・スコポフスカヤ</t>
        </is>
      </c>
      <c r="F679" s="19" t="inlineStr">
        <is>
          <t>北風の使者</t>
        </is>
      </c>
      <c r="G679" s="18" t="inlineStr">
        <is>
          <t>A</t>
        </is>
      </c>
      <c r="H679" s="17" t="inlineStr">
        <is>
          <t>Debuffer</t>
        </is>
      </c>
      <c r="I679" s="18" t="n">
        <v>0</v>
      </c>
      <c r="J679" s="18" t="n">
        <v>20</v>
      </c>
      <c r="K679" s="18" t="n">
        <v>245</v>
      </c>
      <c r="L679" s="18" t="n">
        <v>295</v>
      </c>
      <c r="M679" s="18" t="n">
        <v>289</v>
      </c>
      <c r="N679" s="18" t="n">
        <v>245</v>
      </c>
      <c r="O679" s="18" t="n">
        <v>297</v>
      </c>
      <c r="P679" s="18" t="n">
        <v>275</v>
      </c>
      <c r="Q679" s="18" t="n">
        <v>25</v>
      </c>
      <c r="R679" s="18" t="n">
        <v>30</v>
      </c>
      <c r="S679" s="18" t="n">
        <v>29</v>
      </c>
      <c r="T679" s="18" t="n">
        <v>25</v>
      </c>
      <c r="U679" s="18" t="n">
        <v>30</v>
      </c>
      <c r="V679" s="18" t="n">
        <v>28</v>
      </c>
      <c r="W679" s="20" t="n"/>
      <c r="X679" s="20" t="n"/>
      <c r="Y679" s="20" t="n"/>
      <c r="Z679" s="20" t="n"/>
      <c r="AA679" s="20" t="n"/>
      <c r="AB679" s="20" t="n"/>
      <c r="AC679" s="21">
        <f>IF(W679="","",W679-K679)</f>
        <v/>
      </c>
      <c r="AD679" s="21">
        <f>IF(X679="","",X679-L679)</f>
        <v/>
      </c>
      <c r="AE679" s="21">
        <f>IF(Y679="","",Y679-M679)</f>
        <v/>
      </c>
      <c r="AF679" s="21">
        <f>IF(Z679="","",Z679-N679)</f>
        <v/>
      </c>
      <c r="AG679" s="21">
        <f>IF(AA679="","",AA679-O679)</f>
        <v/>
      </c>
      <c r="AH679" s="21">
        <f>IF(AB679="","",AB679-P679)</f>
        <v/>
      </c>
      <c r="AI679" s="18">
        <f>IF(COUNTA(W679:AB679)=0,"未入力",IF(COUNTA(W679:AB679)&lt;6,"一部入力",IF(COUNTIF(AC679:AH679,0)=6,"一致","差分あり")))</f>
        <v/>
      </c>
      <c r="AJ67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79" s="19" t="inlineStr"/>
      <c r="AL679" s="18" t="inlineStr">
        <is>
          <t>2026-06-29</t>
        </is>
      </c>
    </row>
    <row r="680" ht="22" customHeight="1">
      <c r="A680" s="17" t="inlineStr">
        <is>
          <t>1008601-LB20</t>
        </is>
      </c>
      <c r="B680" s="18" t="n">
        <v>1008601</v>
      </c>
      <c r="C680" s="17" t="inlineStr">
        <is>
          <t>CSkopovskaya01</t>
        </is>
      </c>
      <c r="D680" s="17" t="inlineStr">
        <is>
          <t>CSkopovskaya</t>
        </is>
      </c>
      <c r="E680" s="17" t="inlineStr">
        <is>
          <t>シャルロッタ・スコポフスカヤ</t>
        </is>
      </c>
      <c r="F680" s="19" t="inlineStr">
        <is>
          <t>北風の使者</t>
        </is>
      </c>
      <c r="G680" s="18" t="inlineStr">
        <is>
          <t>A</t>
        </is>
      </c>
      <c r="H680" s="17" t="inlineStr">
        <is>
          <t>Debuffer</t>
        </is>
      </c>
      <c r="I680" s="18" t="n">
        <v>20</v>
      </c>
      <c r="J680" s="18" t="n">
        <v>20</v>
      </c>
      <c r="K680" s="18" t="n">
        <v>289</v>
      </c>
      <c r="L680" s="18" t="n">
        <v>341</v>
      </c>
      <c r="M680" s="18" t="n">
        <v>335</v>
      </c>
      <c r="N680" s="18" t="n">
        <v>289</v>
      </c>
      <c r="O680" s="18" t="n">
        <v>341</v>
      </c>
      <c r="P680" s="18" t="n">
        <v>319</v>
      </c>
      <c r="Q680" s="18" t="n">
        <v>29</v>
      </c>
      <c r="R680" s="18" t="n">
        <v>35</v>
      </c>
      <c r="S680" s="18" t="n">
        <v>34</v>
      </c>
      <c r="T680" s="18" t="n">
        <v>29</v>
      </c>
      <c r="U680" s="18" t="n">
        <v>35</v>
      </c>
      <c r="V680" s="18" t="n">
        <v>32</v>
      </c>
      <c r="W680" s="20" t="n"/>
      <c r="X680" s="20" t="n"/>
      <c r="Y680" s="20" t="n"/>
      <c r="Z680" s="20" t="n"/>
      <c r="AA680" s="20" t="n"/>
      <c r="AB680" s="20" t="n"/>
      <c r="AC680" s="21">
        <f>IF(W680="","",W680-K680)</f>
        <v/>
      </c>
      <c r="AD680" s="21">
        <f>IF(X680="","",X680-L680)</f>
        <v/>
      </c>
      <c r="AE680" s="21">
        <f>IF(Y680="","",Y680-M680)</f>
        <v/>
      </c>
      <c r="AF680" s="21">
        <f>IF(Z680="","",Z680-N680)</f>
        <v/>
      </c>
      <c r="AG680" s="21">
        <f>IF(AA680="","",AA680-O680)</f>
        <v/>
      </c>
      <c r="AH680" s="21">
        <f>IF(AB680="","",AB680-P680)</f>
        <v/>
      </c>
      <c r="AI680" s="18">
        <f>IF(COUNTA(W680:AB680)=0,"未入力",IF(COUNTA(W680:AB680)&lt;6,"一部入力",IF(COUNTIF(AC680:AH680,0)=6,"一致","差分あり")))</f>
        <v/>
      </c>
      <c r="AJ68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0" s="19" t="inlineStr"/>
      <c r="AL680" s="18" t="inlineStr">
        <is>
          <t>2026-06-29</t>
        </is>
      </c>
    </row>
    <row r="681" ht="22" customHeight="1">
      <c r="A681" s="17" t="inlineStr">
        <is>
          <t>1008602-LB0</t>
        </is>
      </c>
      <c r="B681" s="18" t="n">
        <v>1008602</v>
      </c>
      <c r="C681" s="17" t="inlineStr">
        <is>
          <t>CSkopovskaya02</t>
        </is>
      </c>
      <c r="D681" s="17" t="inlineStr">
        <is>
          <t>CSkopovskaya</t>
        </is>
      </c>
      <c r="E681" s="17" t="inlineStr">
        <is>
          <t>シャルロッタ・スコポフスカヤ</t>
        </is>
      </c>
      <c r="F681" s="19" t="inlineStr">
        <is>
          <t>雪華ノスタルジア</t>
        </is>
      </c>
      <c r="G681" s="18" t="inlineStr">
        <is>
          <t>S</t>
        </is>
      </c>
      <c r="H681" s="17" t="inlineStr">
        <is>
          <t>Debuffer</t>
        </is>
      </c>
      <c r="I681" s="18" t="n">
        <v>0</v>
      </c>
      <c r="J681" s="18" t="n">
        <v>10</v>
      </c>
      <c r="K681" s="18" t="n">
        <v>345</v>
      </c>
      <c r="L681" s="18" t="n">
        <v>313</v>
      </c>
      <c r="M681" s="18" t="n">
        <v>317</v>
      </c>
      <c r="N681" s="18" t="n">
        <v>316</v>
      </c>
      <c r="O681" s="18" t="n">
        <v>324</v>
      </c>
      <c r="P681" s="18" t="n">
        <v>345</v>
      </c>
      <c r="Q681" s="18" t="n">
        <v>35</v>
      </c>
      <c r="R681" s="18" t="n">
        <v>32</v>
      </c>
      <c r="S681" s="18" t="n">
        <v>32</v>
      </c>
      <c r="T681" s="18" t="n">
        <v>32</v>
      </c>
      <c r="U681" s="18" t="n">
        <v>33</v>
      </c>
      <c r="V681" s="18" t="n">
        <v>35</v>
      </c>
      <c r="W681" s="20" t="n"/>
      <c r="X681" s="20" t="n"/>
      <c r="Y681" s="20" t="n"/>
      <c r="Z681" s="20" t="n"/>
      <c r="AA681" s="20" t="n"/>
      <c r="AB681" s="20" t="n"/>
      <c r="AC681" s="21">
        <f>IF(W681="","",W681-K681)</f>
        <v/>
      </c>
      <c r="AD681" s="21">
        <f>IF(X681="","",X681-L681)</f>
        <v/>
      </c>
      <c r="AE681" s="21">
        <f>IF(Y681="","",Y681-M681)</f>
        <v/>
      </c>
      <c r="AF681" s="21">
        <f>IF(Z681="","",Z681-N681)</f>
        <v/>
      </c>
      <c r="AG681" s="21">
        <f>IF(AA681="","",AA681-O681)</f>
        <v/>
      </c>
      <c r="AH681" s="21">
        <f>IF(AB681="","",AB681-P681)</f>
        <v/>
      </c>
      <c r="AI681" s="18">
        <f>IF(COUNTA(W681:AB681)=0,"未入力",IF(COUNTA(W681:AB681)&lt;6,"一部入力",IF(COUNTIF(AC681:AH681,0)=6,"一致","差分あり")))</f>
        <v/>
      </c>
      <c r="AJ68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1" s="19" t="inlineStr"/>
      <c r="AL681" s="18" t="inlineStr">
        <is>
          <t>2026-06-29</t>
        </is>
      </c>
    </row>
    <row r="682" ht="22" customHeight="1">
      <c r="A682" s="17" t="inlineStr">
        <is>
          <t>1008602-LB10</t>
        </is>
      </c>
      <c r="B682" s="18" t="n">
        <v>1008602</v>
      </c>
      <c r="C682" s="17" t="inlineStr">
        <is>
          <t>CSkopovskaya02</t>
        </is>
      </c>
      <c r="D682" s="17" t="inlineStr">
        <is>
          <t>CSkopovskaya</t>
        </is>
      </c>
      <c r="E682" s="17" t="inlineStr">
        <is>
          <t>シャルロッタ・スコポフスカヤ</t>
        </is>
      </c>
      <c r="F682" s="19" t="inlineStr">
        <is>
          <t>雪華ノスタルジア</t>
        </is>
      </c>
      <c r="G682" s="18" t="inlineStr">
        <is>
          <t>S</t>
        </is>
      </c>
      <c r="H682" s="17" t="inlineStr">
        <is>
          <t>Debuffer</t>
        </is>
      </c>
      <c r="I682" s="18" t="n">
        <v>10</v>
      </c>
      <c r="J682" s="18" t="n">
        <v>10</v>
      </c>
      <c r="K682" s="18" t="n">
        <v>414</v>
      </c>
      <c r="L682" s="18" t="n">
        <v>380</v>
      </c>
      <c r="M682" s="18" t="n">
        <v>385</v>
      </c>
      <c r="N682" s="18" t="n">
        <v>381</v>
      </c>
      <c r="O682" s="18" t="n">
        <v>391</v>
      </c>
      <c r="P682" s="18" t="n">
        <v>410</v>
      </c>
      <c r="Q682" s="18" t="n">
        <v>42</v>
      </c>
      <c r="R682" s="18" t="n">
        <v>38</v>
      </c>
      <c r="S682" s="18" t="n">
        <v>39</v>
      </c>
      <c r="T682" s="18" t="n">
        <v>39</v>
      </c>
      <c r="U682" s="18" t="n">
        <v>40</v>
      </c>
      <c r="V682" s="18" t="n">
        <v>41</v>
      </c>
      <c r="W682" s="20" t="n"/>
      <c r="X682" s="20" t="n"/>
      <c r="Y682" s="20" t="n"/>
      <c r="Z682" s="20" t="n"/>
      <c r="AA682" s="20" t="n"/>
      <c r="AB682" s="20" t="n"/>
      <c r="AC682" s="21">
        <f>IF(W682="","",W682-K682)</f>
        <v/>
      </c>
      <c r="AD682" s="21">
        <f>IF(X682="","",X682-L682)</f>
        <v/>
      </c>
      <c r="AE682" s="21">
        <f>IF(Y682="","",Y682-M682)</f>
        <v/>
      </c>
      <c r="AF682" s="21">
        <f>IF(Z682="","",Z682-N682)</f>
        <v/>
      </c>
      <c r="AG682" s="21">
        <f>IF(AA682="","",AA682-O682)</f>
        <v/>
      </c>
      <c r="AH682" s="21">
        <f>IF(AB682="","",AB682-P682)</f>
        <v/>
      </c>
      <c r="AI682" s="18">
        <f>IF(COUNTA(W682:AB682)=0,"未入力",IF(COUNTA(W682:AB682)&lt;6,"一部入力",IF(COUNTIF(AC682:AH682,0)=6,"一致","差分あり")))</f>
        <v/>
      </c>
      <c r="AJ68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2" s="19" t="inlineStr"/>
      <c r="AL682" s="18" t="inlineStr">
        <is>
          <t>2026-06-29</t>
        </is>
      </c>
    </row>
    <row r="683" ht="22" customHeight="1">
      <c r="A683" s="17" t="inlineStr">
        <is>
          <t>1008603-LB0</t>
        </is>
      </c>
      <c r="B683" s="18" t="n">
        <v>1008603</v>
      </c>
      <c r="C683" s="17" t="inlineStr">
        <is>
          <t>CSkopovskaya03</t>
        </is>
      </c>
      <c r="D683" s="17" t="inlineStr">
        <is>
          <t>CSkopovskaya</t>
        </is>
      </c>
      <c r="E683" s="17" t="inlineStr">
        <is>
          <t>シャルロッタ・スコポフスカヤ</t>
        </is>
      </c>
      <c r="F683" s="19" t="inlineStr">
        <is>
          <t>逆境に咲く華</t>
        </is>
      </c>
      <c r="G683" s="18" t="inlineStr">
        <is>
          <t>SS</t>
        </is>
      </c>
      <c r="H683" s="17" t="inlineStr">
        <is>
          <t>Debuffer</t>
        </is>
      </c>
      <c r="I683" s="18" t="n">
        <v>0</v>
      </c>
      <c r="J683" s="18" t="n">
        <v>4</v>
      </c>
      <c r="K683" s="18" t="n">
        <v>341</v>
      </c>
      <c r="L683" s="18" t="n">
        <v>420</v>
      </c>
      <c r="M683" s="18" t="n">
        <v>389</v>
      </c>
      <c r="N683" s="18" t="n">
        <v>362</v>
      </c>
      <c r="O683" s="18" t="n">
        <v>398</v>
      </c>
      <c r="P683" s="18" t="n">
        <v>372</v>
      </c>
      <c r="Q683" s="18" t="n">
        <v>35</v>
      </c>
      <c r="R683" s="18" t="n">
        <v>42</v>
      </c>
      <c r="S683" s="18" t="n">
        <v>39</v>
      </c>
      <c r="T683" s="18" t="n">
        <v>37</v>
      </c>
      <c r="U683" s="18" t="n">
        <v>40</v>
      </c>
      <c r="V683" s="18" t="n">
        <v>38</v>
      </c>
      <c r="W683" s="20" t="n"/>
      <c r="X683" s="20" t="n"/>
      <c r="Y683" s="20" t="n"/>
      <c r="Z683" s="20" t="n"/>
      <c r="AA683" s="20" t="n"/>
      <c r="AB683" s="20" t="n"/>
      <c r="AC683" s="21">
        <f>IF(W683="","",W683-K683)</f>
        <v/>
      </c>
      <c r="AD683" s="21">
        <f>IF(X683="","",X683-L683)</f>
        <v/>
      </c>
      <c r="AE683" s="21">
        <f>IF(Y683="","",Y683-M683)</f>
        <v/>
      </c>
      <c r="AF683" s="21">
        <f>IF(Z683="","",Z683-N683)</f>
        <v/>
      </c>
      <c r="AG683" s="21">
        <f>IF(AA683="","",AA683-O683)</f>
        <v/>
      </c>
      <c r="AH683" s="21">
        <f>IF(AB683="","",AB683-P683)</f>
        <v/>
      </c>
      <c r="AI683" s="18">
        <f>IF(COUNTA(W683:AB683)=0,"未入力",IF(COUNTA(W683:AB683)&lt;6,"一部入力",IF(COUNTIF(AC683:AH683,0)=6,"一致","差分あり")))</f>
        <v/>
      </c>
      <c r="AJ68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3" s="19" t="inlineStr"/>
      <c r="AL683" s="18" t="inlineStr">
        <is>
          <t>2026-06-29</t>
        </is>
      </c>
    </row>
    <row r="684" ht="22" customHeight="1">
      <c r="A684" s="17" t="inlineStr">
        <is>
          <t>1008603-LB4</t>
        </is>
      </c>
      <c r="B684" s="18" t="n">
        <v>1008603</v>
      </c>
      <c r="C684" s="17" t="inlineStr">
        <is>
          <t>CSkopovskaya03</t>
        </is>
      </c>
      <c r="D684" s="17" t="inlineStr">
        <is>
          <t>CSkopovskaya</t>
        </is>
      </c>
      <c r="E684" s="17" t="inlineStr">
        <is>
          <t>シャルロッタ・スコポフスカヤ</t>
        </is>
      </c>
      <c r="F684" s="19" t="inlineStr">
        <is>
          <t>逆境に咲く華</t>
        </is>
      </c>
      <c r="G684" s="18" t="inlineStr">
        <is>
          <t>SS</t>
        </is>
      </c>
      <c r="H684" s="17" t="inlineStr">
        <is>
          <t>Debuffer</t>
        </is>
      </c>
      <c r="I684" s="18" t="n">
        <v>4</v>
      </c>
      <c r="J684" s="18" t="n">
        <v>4</v>
      </c>
      <c r="K684" s="18" t="n">
        <v>428</v>
      </c>
      <c r="L684" s="18" t="n">
        <v>510</v>
      </c>
      <c r="M684" s="18" t="n">
        <v>480</v>
      </c>
      <c r="N684" s="18" t="n">
        <v>450</v>
      </c>
      <c r="O684" s="18" t="n">
        <v>487</v>
      </c>
      <c r="P684" s="18" t="n">
        <v>459</v>
      </c>
      <c r="Q684" s="18" t="n">
        <v>43</v>
      </c>
      <c r="R684" s="18" t="n">
        <v>51</v>
      </c>
      <c r="S684" s="18" t="n">
        <v>48</v>
      </c>
      <c r="T684" s="18" t="n">
        <v>45</v>
      </c>
      <c r="U684" s="18" t="n">
        <v>49</v>
      </c>
      <c r="V684" s="18" t="n">
        <v>46</v>
      </c>
      <c r="W684" s="20" t="n"/>
      <c r="X684" s="20" t="n"/>
      <c r="Y684" s="20" t="n"/>
      <c r="Z684" s="20" t="n"/>
      <c r="AA684" s="20" t="n"/>
      <c r="AB684" s="20" t="n"/>
      <c r="AC684" s="21">
        <f>IF(W684="","",W684-K684)</f>
        <v/>
      </c>
      <c r="AD684" s="21">
        <f>IF(X684="","",X684-L684)</f>
        <v/>
      </c>
      <c r="AE684" s="21">
        <f>IF(Y684="","",Y684-M684)</f>
        <v/>
      </c>
      <c r="AF684" s="21">
        <f>IF(Z684="","",Z684-N684)</f>
        <v/>
      </c>
      <c r="AG684" s="21">
        <f>IF(AA684="","",AA684-O684)</f>
        <v/>
      </c>
      <c r="AH684" s="21">
        <f>IF(AB684="","",AB684-P684)</f>
        <v/>
      </c>
      <c r="AI684" s="18">
        <f>IF(COUNTA(W684:AB684)=0,"未入力",IF(COUNTA(W684:AB684)&lt;6,"一部入力",IF(COUNTIF(AC684:AH684,0)=6,"一致","差分あり")))</f>
        <v/>
      </c>
      <c r="AJ68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4" s="19" t="inlineStr"/>
      <c r="AL684" s="18" t="inlineStr">
        <is>
          <t>2026-06-29</t>
        </is>
      </c>
    </row>
    <row r="685" ht="22" customHeight="1">
      <c r="A685" s="17" t="inlineStr">
        <is>
          <t>1008604-LB0</t>
        </is>
      </c>
      <c r="B685" s="18" t="n">
        <v>1008604</v>
      </c>
      <c r="C685" s="17" t="inlineStr">
        <is>
          <t>CSkopovskaya04</t>
        </is>
      </c>
      <c r="D685" s="17" t="inlineStr">
        <is>
          <t>CSkopovskaya</t>
        </is>
      </c>
      <c r="E685" s="17" t="inlineStr">
        <is>
          <t>シャルロッタ・スコポフスカヤ</t>
        </is>
      </c>
      <c r="F685" s="19" t="inlineStr">
        <is>
          <t>とこしえの想い</t>
        </is>
      </c>
      <c r="G685" s="18" t="inlineStr">
        <is>
          <t>SS</t>
        </is>
      </c>
      <c r="H685" s="17" t="inlineStr">
        <is>
          <t>Debuffer</t>
        </is>
      </c>
      <c r="I685" s="18" t="n">
        <v>0</v>
      </c>
      <c r="J685" s="18" t="n">
        <v>4</v>
      </c>
      <c r="K685" s="18" t="n">
        <v>362</v>
      </c>
      <c r="L685" s="18" t="n">
        <v>443</v>
      </c>
      <c r="M685" s="18" t="n">
        <v>412</v>
      </c>
      <c r="N685" s="18" t="n">
        <v>384</v>
      </c>
      <c r="O685" s="18" t="n">
        <v>420</v>
      </c>
      <c r="P685" s="18" t="n">
        <v>394</v>
      </c>
      <c r="Q685" s="18" t="n">
        <v>37</v>
      </c>
      <c r="R685" s="18" t="n">
        <v>45</v>
      </c>
      <c r="S685" s="18" t="n">
        <v>42</v>
      </c>
      <c r="T685" s="18" t="n">
        <v>39</v>
      </c>
      <c r="U685" s="18" t="n">
        <v>42</v>
      </c>
      <c r="V685" s="18" t="n">
        <v>40</v>
      </c>
      <c r="W685" s="20" t="n"/>
      <c r="X685" s="20" t="n"/>
      <c r="Y685" s="20" t="n"/>
      <c r="Z685" s="20" t="n"/>
      <c r="AA685" s="20" t="n"/>
      <c r="AB685" s="20" t="n"/>
      <c r="AC685" s="21">
        <f>IF(W685="","",W685-K685)</f>
        <v/>
      </c>
      <c r="AD685" s="21">
        <f>IF(X685="","",X685-L685)</f>
        <v/>
      </c>
      <c r="AE685" s="21">
        <f>IF(Y685="","",Y685-M685)</f>
        <v/>
      </c>
      <c r="AF685" s="21">
        <f>IF(Z685="","",Z685-N685)</f>
        <v/>
      </c>
      <c r="AG685" s="21">
        <f>IF(AA685="","",AA685-O685)</f>
        <v/>
      </c>
      <c r="AH685" s="21">
        <f>IF(AB685="","",AB685-P685)</f>
        <v/>
      </c>
      <c r="AI685" s="18">
        <f>IF(COUNTA(W685:AB685)=0,"未入力",IF(COUNTA(W685:AB685)&lt;6,"一部入力",IF(COUNTIF(AC685:AH685,0)=6,"一致","差分あり")))</f>
        <v/>
      </c>
      <c r="AJ68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5" s="19" t="inlineStr"/>
      <c r="AL685" s="18" t="inlineStr">
        <is>
          <t>2026-06-29</t>
        </is>
      </c>
    </row>
    <row r="686" ht="22" customHeight="1">
      <c r="A686" s="17" t="inlineStr">
        <is>
          <t>1008604-LB4</t>
        </is>
      </c>
      <c r="B686" s="18" t="n">
        <v>1008604</v>
      </c>
      <c r="C686" s="17" t="inlineStr">
        <is>
          <t>CSkopovskaya04</t>
        </is>
      </c>
      <c r="D686" s="17" t="inlineStr">
        <is>
          <t>CSkopovskaya</t>
        </is>
      </c>
      <c r="E686" s="17" t="inlineStr">
        <is>
          <t>シャルロッタ・スコポフスカヤ</t>
        </is>
      </c>
      <c r="F686" s="19" t="inlineStr">
        <is>
          <t>とこしえの想い</t>
        </is>
      </c>
      <c r="G686" s="18" t="inlineStr">
        <is>
          <t>SS</t>
        </is>
      </c>
      <c r="H686" s="17" t="inlineStr">
        <is>
          <t>Debuffer</t>
        </is>
      </c>
      <c r="I686" s="18" t="n">
        <v>4</v>
      </c>
      <c r="J686" s="18" t="n">
        <v>4</v>
      </c>
      <c r="K686" s="18" t="n">
        <v>450</v>
      </c>
      <c r="L686" s="18" t="n">
        <v>532</v>
      </c>
      <c r="M686" s="18" t="n">
        <v>503</v>
      </c>
      <c r="N686" s="18" t="n">
        <v>471</v>
      </c>
      <c r="O686" s="18" t="n">
        <v>510</v>
      </c>
      <c r="P686" s="18" t="n">
        <v>480</v>
      </c>
      <c r="Q686" s="18" t="n">
        <v>45</v>
      </c>
      <c r="R686" s="18" t="n">
        <v>54</v>
      </c>
      <c r="S686" s="18" t="n">
        <v>51</v>
      </c>
      <c r="T686" s="18" t="n">
        <v>48</v>
      </c>
      <c r="U686" s="18" t="n">
        <v>51</v>
      </c>
      <c r="V686" s="18" t="n">
        <v>48</v>
      </c>
      <c r="W686" s="20" t="n"/>
      <c r="X686" s="20" t="n"/>
      <c r="Y686" s="20" t="n"/>
      <c r="Z686" s="20" t="n"/>
      <c r="AA686" s="20" t="n"/>
      <c r="AB686" s="20" t="n"/>
      <c r="AC686" s="21">
        <f>IF(W686="","",W686-K686)</f>
        <v/>
      </c>
      <c r="AD686" s="21">
        <f>IF(X686="","",X686-L686)</f>
        <v/>
      </c>
      <c r="AE686" s="21">
        <f>IF(Y686="","",Y686-M686)</f>
        <v/>
      </c>
      <c r="AF686" s="21">
        <f>IF(Z686="","",Z686-N686)</f>
        <v/>
      </c>
      <c r="AG686" s="21">
        <f>IF(AA686="","",AA686-O686)</f>
        <v/>
      </c>
      <c r="AH686" s="21">
        <f>IF(AB686="","",AB686-P686)</f>
        <v/>
      </c>
      <c r="AI686" s="18">
        <f>IF(COUNTA(W686:AB686)=0,"未入力",IF(COUNTA(W686:AB686)&lt;6,"一部入力",IF(COUNTIF(AC686:AH686,0)=6,"一致","差分あり")))</f>
        <v/>
      </c>
      <c r="AJ68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6" s="19" t="inlineStr"/>
      <c r="AL686" s="18" t="inlineStr">
        <is>
          <t>2026-06-29</t>
        </is>
      </c>
    </row>
    <row r="687" ht="22" customHeight="1">
      <c r="A687" s="17" t="inlineStr">
        <is>
          <t>1008605-LB0</t>
        </is>
      </c>
      <c r="B687" s="18" t="n">
        <v>1008605</v>
      </c>
      <c r="C687" s="17" t="inlineStr">
        <is>
          <t>CSkopovskaya05</t>
        </is>
      </c>
      <c r="D687" s="17" t="inlineStr">
        <is>
          <t>CSkopovskaya</t>
        </is>
      </c>
      <c r="E687" s="17" t="inlineStr">
        <is>
          <t>シャルロッタ・スコポフスカヤ</t>
        </is>
      </c>
      <c r="F687" s="19" t="inlineStr">
        <is>
          <t>清廉なるニヴェースタ</t>
        </is>
      </c>
      <c r="G687" s="18" t="inlineStr">
        <is>
          <t>SS</t>
        </is>
      </c>
      <c r="H687" s="17" t="inlineStr">
        <is>
          <t>Buffer</t>
        </is>
      </c>
      <c r="I687" s="18" t="n">
        <v>0</v>
      </c>
      <c r="J687" s="18" t="n">
        <v>4</v>
      </c>
      <c r="K687" s="18" t="n">
        <v>397</v>
      </c>
      <c r="L687" s="18" t="n">
        <v>407</v>
      </c>
      <c r="M687" s="18" t="n">
        <v>448</v>
      </c>
      <c r="N687" s="18" t="n">
        <v>410</v>
      </c>
      <c r="O687" s="18" t="n">
        <v>394</v>
      </c>
      <c r="P687" s="18" t="n">
        <v>359</v>
      </c>
      <c r="Q687" s="18" t="n">
        <v>40</v>
      </c>
      <c r="R687" s="18" t="n">
        <v>41</v>
      </c>
      <c r="S687" s="18" t="n">
        <v>45</v>
      </c>
      <c r="T687" s="18" t="n">
        <v>41</v>
      </c>
      <c r="U687" s="18" t="n">
        <v>40</v>
      </c>
      <c r="V687" s="18" t="n">
        <v>36</v>
      </c>
      <c r="W687" s="20" t="n"/>
      <c r="X687" s="20" t="n"/>
      <c r="Y687" s="20" t="n"/>
      <c r="Z687" s="20" t="n"/>
      <c r="AA687" s="20" t="n"/>
      <c r="AB687" s="20" t="n"/>
      <c r="AC687" s="21">
        <f>IF(W687="","",W687-K687)</f>
        <v/>
      </c>
      <c r="AD687" s="21">
        <f>IF(X687="","",X687-L687)</f>
        <v/>
      </c>
      <c r="AE687" s="21">
        <f>IF(Y687="","",Y687-M687)</f>
        <v/>
      </c>
      <c r="AF687" s="21">
        <f>IF(Z687="","",Z687-N687)</f>
        <v/>
      </c>
      <c r="AG687" s="21">
        <f>IF(AA687="","",AA687-O687)</f>
        <v/>
      </c>
      <c r="AH687" s="21">
        <f>IF(AB687="","",AB687-P687)</f>
        <v/>
      </c>
      <c r="AI687" s="18">
        <f>IF(COUNTA(W687:AB687)=0,"未入力",IF(COUNTA(W687:AB687)&lt;6,"一部入力",IF(COUNTIF(AC687:AH687,0)=6,"一致","差分あり")))</f>
        <v/>
      </c>
      <c r="AJ68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7" s="19" t="inlineStr"/>
      <c r="AL687" s="18" t="inlineStr">
        <is>
          <t>2026-06-29</t>
        </is>
      </c>
    </row>
    <row r="688" ht="22" customHeight="1">
      <c r="A688" s="17" t="inlineStr">
        <is>
          <t>1008605-LB4</t>
        </is>
      </c>
      <c r="B688" s="18" t="n">
        <v>1008605</v>
      </c>
      <c r="C688" s="17" t="inlineStr">
        <is>
          <t>CSkopovskaya05</t>
        </is>
      </c>
      <c r="D688" s="17" t="inlineStr">
        <is>
          <t>CSkopovskaya</t>
        </is>
      </c>
      <c r="E688" s="17" t="inlineStr">
        <is>
          <t>シャルロッタ・スコポフスカヤ</t>
        </is>
      </c>
      <c r="F688" s="19" t="inlineStr">
        <is>
          <t>清廉なるニヴェースタ</t>
        </is>
      </c>
      <c r="G688" s="18" t="inlineStr">
        <is>
          <t>SS</t>
        </is>
      </c>
      <c r="H688" s="17" t="inlineStr">
        <is>
          <t>Buffer</t>
        </is>
      </c>
      <c r="I688" s="18" t="n">
        <v>4</v>
      </c>
      <c r="J688" s="18" t="n">
        <v>4</v>
      </c>
      <c r="K688" s="18" t="n">
        <v>484</v>
      </c>
      <c r="L688" s="18" t="n">
        <v>497</v>
      </c>
      <c r="M688" s="18" t="n">
        <v>539</v>
      </c>
      <c r="N688" s="18" t="n">
        <v>497</v>
      </c>
      <c r="O688" s="18" t="n">
        <v>483</v>
      </c>
      <c r="P688" s="18" t="n">
        <v>446</v>
      </c>
      <c r="Q688" s="18" t="n">
        <v>49</v>
      </c>
      <c r="R688" s="18" t="n">
        <v>50</v>
      </c>
      <c r="S688" s="18" t="n">
        <v>54</v>
      </c>
      <c r="T688" s="18" t="n">
        <v>50</v>
      </c>
      <c r="U688" s="18" t="n">
        <v>49</v>
      </c>
      <c r="V688" s="18" t="n">
        <v>45</v>
      </c>
      <c r="W688" s="20" t="n"/>
      <c r="X688" s="20" t="n"/>
      <c r="Y688" s="20" t="n"/>
      <c r="Z688" s="20" t="n"/>
      <c r="AA688" s="20" t="n"/>
      <c r="AB688" s="20" t="n"/>
      <c r="AC688" s="21">
        <f>IF(W688="","",W688-K688)</f>
        <v/>
      </c>
      <c r="AD688" s="21">
        <f>IF(X688="","",X688-L688)</f>
        <v/>
      </c>
      <c r="AE688" s="21">
        <f>IF(Y688="","",Y688-M688)</f>
        <v/>
      </c>
      <c r="AF688" s="21">
        <f>IF(Z688="","",Z688-N688)</f>
        <v/>
      </c>
      <c r="AG688" s="21">
        <f>IF(AA688="","",AA688-O688)</f>
        <v/>
      </c>
      <c r="AH688" s="21">
        <f>IF(AB688="","",AB688-P688)</f>
        <v/>
      </c>
      <c r="AI688" s="18">
        <f>IF(COUNTA(W688:AB688)=0,"未入力",IF(COUNTA(W688:AB688)&lt;6,"一部入力",IF(COUNTIF(AC688:AH688,0)=6,"一致","差分あり")))</f>
        <v/>
      </c>
      <c r="AJ68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8" s="19" t="inlineStr"/>
      <c r="AL688" s="18" t="inlineStr">
        <is>
          <t>2026-06-29</t>
        </is>
      </c>
    </row>
    <row r="689" ht="22" customHeight="1">
      <c r="A689" s="17" t="inlineStr">
        <is>
          <t>1008606-LB0</t>
        </is>
      </c>
      <c r="B689" s="18" t="n">
        <v>1008606</v>
      </c>
      <c r="C689" s="17" t="inlineStr">
        <is>
          <t>CSkopovskaya06</t>
        </is>
      </c>
      <c r="D689" s="17" t="inlineStr">
        <is>
          <t>CSkopovskaya</t>
        </is>
      </c>
      <c r="E689" s="17" t="inlineStr">
        <is>
          <t>シャルロッタ・スコポフスカヤ</t>
        </is>
      </c>
      <c r="F689" s="19" t="inlineStr">
        <is>
          <t>麗らかなまなざし</t>
        </is>
      </c>
      <c r="G689" s="18" t="inlineStr">
        <is>
          <t>S</t>
        </is>
      </c>
      <c r="H689" s="17" t="inlineStr">
        <is>
          <t>Attacker</t>
        </is>
      </c>
      <c r="I689" s="18" t="n">
        <v>0</v>
      </c>
      <c r="J689" s="18" t="n">
        <v>10</v>
      </c>
      <c r="K689" s="18" t="n">
        <v>345</v>
      </c>
      <c r="L689" s="18" t="n">
        <v>313</v>
      </c>
      <c r="M689" s="18" t="n">
        <v>317</v>
      </c>
      <c r="N689" s="18" t="n">
        <v>316</v>
      </c>
      <c r="O689" s="18" t="n">
        <v>324</v>
      </c>
      <c r="P689" s="18" t="n">
        <v>345</v>
      </c>
      <c r="Q689" s="18" t="n">
        <v>35</v>
      </c>
      <c r="R689" s="18" t="n">
        <v>32</v>
      </c>
      <c r="S689" s="18" t="n">
        <v>32</v>
      </c>
      <c r="T689" s="18" t="n">
        <v>32</v>
      </c>
      <c r="U689" s="18" t="n">
        <v>33</v>
      </c>
      <c r="V689" s="18" t="n">
        <v>35</v>
      </c>
      <c r="W689" s="20" t="n"/>
      <c r="X689" s="20" t="n"/>
      <c r="Y689" s="20" t="n"/>
      <c r="Z689" s="20" t="n"/>
      <c r="AA689" s="20" t="n"/>
      <c r="AB689" s="20" t="n"/>
      <c r="AC689" s="21">
        <f>IF(W689="","",W689-K689)</f>
        <v/>
      </c>
      <c r="AD689" s="21">
        <f>IF(X689="","",X689-L689)</f>
        <v/>
      </c>
      <c r="AE689" s="21">
        <f>IF(Y689="","",Y689-M689)</f>
        <v/>
      </c>
      <c r="AF689" s="21">
        <f>IF(Z689="","",Z689-N689)</f>
        <v/>
      </c>
      <c r="AG689" s="21">
        <f>IF(AA689="","",AA689-O689)</f>
        <v/>
      </c>
      <c r="AH689" s="21">
        <f>IF(AB689="","",AB689-P689)</f>
        <v/>
      </c>
      <c r="AI689" s="18">
        <f>IF(COUNTA(W689:AB689)=0,"未入力",IF(COUNTA(W689:AB689)&lt;6,"一部入力",IF(COUNTIF(AC689:AH689,0)=6,"一致","差分あり")))</f>
        <v/>
      </c>
      <c r="AJ68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89" s="19" t="inlineStr"/>
      <c r="AL689" s="18" t="inlineStr">
        <is>
          <t>2026-06-29</t>
        </is>
      </c>
    </row>
    <row r="690" ht="22" customHeight="1">
      <c r="A690" s="17" t="inlineStr">
        <is>
          <t>1008606-LB10</t>
        </is>
      </c>
      <c r="B690" s="18" t="n">
        <v>1008606</v>
      </c>
      <c r="C690" s="17" t="inlineStr">
        <is>
          <t>CSkopovskaya06</t>
        </is>
      </c>
      <c r="D690" s="17" t="inlineStr">
        <is>
          <t>CSkopovskaya</t>
        </is>
      </c>
      <c r="E690" s="17" t="inlineStr">
        <is>
          <t>シャルロッタ・スコポフスカヤ</t>
        </is>
      </c>
      <c r="F690" s="19" t="inlineStr">
        <is>
          <t>麗らかなまなざし</t>
        </is>
      </c>
      <c r="G690" s="18" t="inlineStr">
        <is>
          <t>S</t>
        </is>
      </c>
      <c r="H690" s="17" t="inlineStr">
        <is>
          <t>Attacker</t>
        </is>
      </c>
      <c r="I690" s="18" t="n">
        <v>10</v>
      </c>
      <c r="J690" s="18" t="n">
        <v>10</v>
      </c>
      <c r="K690" s="18" t="n">
        <v>414</v>
      </c>
      <c r="L690" s="18" t="n">
        <v>380</v>
      </c>
      <c r="M690" s="18" t="n">
        <v>385</v>
      </c>
      <c r="N690" s="18" t="n">
        <v>381</v>
      </c>
      <c r="O690" s="18" t="n">
        <v>391</v>
      </c>
      <c r="P690" s="18" t="n">
        <v>410</v>
      </c>
      <c r="Q690" s="18" t="n">
        <v>42</v>
      </c>
      <c r="R690" s="18" t="n">
        <v>38</v>
      </c>
      <c r="S690" s="18" t="n">
        <v>39</v>
      </c>
      <c r="T690" s="18" t="n">
        <v>39</v>
      </c>
      <c r="U690" s="18" t="n">
        <v>40</v>
      </c>
      <c r="V690" s="18" t="n">
        <v>41</v>
      </c>
      <c r="W690" s="20" t="n"/>
      <c r="X690" s="20" t="n"/>
      <c r="Y690" s="20" t="n"/>
      <c r="Z690" s="20" t="n"/>
      <c r="AA690" s="20" t="n"/>
      <c r="AB690" s="20" t="n"/>
      <c r="AC690" s="21">
        <f>IF(W690="","",W690-K690)</f>
        <v/>
      </c>
      <c r="AD690" s="21">
        <f>IF(X690="","",X690-L690)</f>
        <v/>
      </c>
      <c r="AE690" s="21">
        <f>IF(Y690="","",Y690-M690)</f>
        <v/>
      </c>
      <c r="AF690" s="21">
        <f>IF(Z690="","",Z690-N690)</f>
        <v/>
      </c>
      <c r="AG690" s="21">
        <f>IF(AA690="","",AA690-O690)</f>
        <v/>
      </c>
      <c r="AH690" s="21">
        <f>IF(AB690="","",AB690-P690)</f>
        <v/>
      </c>
      <c r="AI690" s="18">
        <f>IF(COUNTA(W690:AB690)=0,"未入力",IF(COUNTA(W690:AB690)&lt;6,"一部入力",IF(COUNTIF(AC690:AH690,0)=6,"一致","差分あり")))</f>
        <v/>
      </c>
      <c r="AJ69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0" s="19" t="inlineStr"/>
      <c r="AL690" s="18" t="inlineStr">
        <is>
          <t>2026-06-29</t>
        </is>
      </c>
    </row>
    <row r="691" ht="22" customHeight="1">
      <c r="A691" s="17" t="inlineStr">
        <is>
          <t>1008607-LB0</t>
        </is>
      </c>
      <c r="B691" s="18" t="n">
        <v>1008607</v>
      </c>
      <c r="C691" s="17" t="inlineStr">
        <is>
          <t>CSkopovskaya07</t>
        </is>
      </c>
      <c r="D691" s="17" t="inlineStr">
        <is>
          <t>CSkopovskaya</t>
        </is>
      </c>
      <c r="E691" s="17" t="inlineStr">
        <is>
          <t>シャルロッタ・スコポフスカヤ</t>
        </is>
      </c>
      <c r="F691" s="19" t="inlineStr">
        <is>
          <t>捧ぐ愛の晩餐</t>
        </is>
      </c>
      <c r="G691" s="18" t="inlineStr">
        <is>
          <t>SS</t>
        </is>
      </c>
      <c r="H691" s="17" t="inlineStr">
        <is>
          <t>Healer</t>
        </is>
      </c>
      <c r="I691" s="18" t="n">
        <v>0</v>
      </c>
      <c r="J691" s="18" t="n">
        <v>4</v>
      </c>
      <c r="K691" s="18" t="n">
        <v>397</v>
      </c>
      <c r="L691" s="18" t="n">
        <v>407</v>
      </c>
      <c r="M691" s="18" t="n">
        <v>448</v>
      </c>
      <c r="N691" s="18" t="n">
        <v>410</v>
      </c>
      <c r="O691" s="18" t="n">
        <v>394</v>
      </c>
      <c r="P691" s="18" t="n">
        <v>359</v>
      </c>
      <c r="Q691" s="18" t="n">
        <v>40</v>
      </c>
      <c r="R691" s="18" t="n">
        <v>41</v>
      </c>
      <c r="S691" s="18" t="n">
        <v>45</v>
      </c>
      <c r="T691" s="18" t="n">
        <v>41</v>
      </c>
      <c r="U691" s="18" t="n">
        <v>40</v>
      </c>
      <c r="V691" s="18" t="n">
        <v>36</v>
      </c>
      <c r="W691" s="20" t="n"/>
      <c r="X691" s="20" t="n"/>
      <c r="Y691" s="20" t="n"/>
      <c r="Z691" s="20" t="n"/>
      <c r="AA691" s="20" t="n"/>
      <c r="AB691" s="20" t="n"/>
      <c r="AC691" s="21">
        <f>IF(W691="","",W691-K691)</f>
        <v/>
      </c>
      <c r="AD691" s="21">
        <f>IF(X691="","",X691-L691)</f>
        <v/>
      </c>
      <c r="AE691" s="21">
        <f>IF(Y691="","",Y691-M691)</f>
        <v/>
      </c>
      <c r="AF691" s="21">
        <f>IF(Z691="","",Z691-N691)</f>
        <v/>
      </c>
      <c r="AG691" s="21">
        <f>IF(AA691="","",AA691-O691)</f>
        <v/>
      </c>
      <c r="AH691" s="21">
        <f>IF(AB691="","",AB691-P691)</f>
        <v/>
      </c>
      <c r="AI691" s="18">
        <f>IF(COUNTA(W691:AB691)=0,"未入力",IF(COUNTA(W691:AB691)&lt;6,"一部入力",IF(COUNTIF(AC691:AH691,0)=6,"一致","差分あり")))</f>
        <v/>
      </c>
      <c r="AJ69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1" s="19" t="inlineStr"/>
      <c r="AL691" s="18" t="inlineStr">
        <is>
          <t>2026-06-29</t>
        </is>
      </c>
    </row>
    <row r="692" ht="22" customHeight="1">
      <c r="A692" s="17" t="inlineStr">
        <is>
          <t>1008607-LB4</t>
        </is>
      </c>
      <c r="B692" s="18" t="n">
        <v>1008607</v>
      </c>
      <c r="C692" s="17" t="inlineStr">
        <is>
          <t>CSkopovskaya07</t>
        </is>
      </c>
      <c r="D692" s="17" t="inlineStr">
        <is>
          <t>CSkopovskaya</t>
        </is>
      </c>
      <c r="E692" s="17" t="inlineStr">
        <is>
          <t>シャルロッタ・スコポフスカヤ</t>
        </is>
      </c>
      <c r="F692" s="19" t="inlineStr">
        <is>
          <t>捧ぐ愛の晩餐</t>
        </is>
      </c>
      <c r="G692" s="18" t="inlineStr">
        <is>
          <t>SS</t>
        </is>
      </c>
      <c r="H692" s="17" t="inlineStr">
        <is>
          <t>Healer</t>
        </is>
      </c>
      <c r="I692" s="18" t="n">
        <v>4</v>
      </c>
      <c r="J692" s="18" t="n">
        <v>4</v>
      </c>
      <c r="K692" s="18" t="n">
        <v>484</v>
      </c>
      <c r="L692" s="18" t="n">
        <v>497</v>
      </c>
      <c r="M692" s="18" t="n">
        <v>539</v>
      </c>
      <c r="N692" s="18" t="n">
        <v>497</v>
      </c>
      <c r="O692" s="18" t="n">
        <v>483</v>
      </c>
      <c r="P692" s="18" t="n">
        <v>446</v>
      </c>
      <c r="Q692" s="18" t="n">
        <v>49</v>
      </c>
      <c r="R692" s="18" t="n">
        <v>50</v>
      </c>
      <c r="S692" s="18" t="n">
        <v>54</v>
      </c>
      <c r="T692" s="18" t="n">
        <v>50</v>
      </c>
      <c r="U692" s="18" t="n">
        <v>49</v>
      </c>
      <c r="V692" s="18" t="n">
        <v>45</v>
      </c>
      <c r="W692" s="20" t="n"/>
      <c r="X692" s="20" t="n"/>
      <c r="Y692" s="20" t="n"/>
      <c r="Z692" s="20" t="n"/>
      <c r="AA692" s="20" t="n"/>
      <c r="AB692" s="20" t="n"/>
      <c r="AC692" s="21">
        <f>IF(W692="","",W692-K692)</f>
        <v/>
      </c>
      <c r="AD692" s="21">
        <f>IF(X692="","",X692-L692)</f>
        <v/>
      </c>
      <c r="AE692" s="21">
        <f>IF(Y692="","",Y692-M692)</f>
        <v/>
      </c>
      <c r="AF692" s="21">
        <f>IF(Z692="","",Z692-N692)</f>
        <v/>
      </c>
      <c r="AG692" s="21">
        <f>IF(AA692="","",AA692-O692)</f>
        <v/>
      </c>
      <c r="AH692" s="21">
        <f>IF(AB692="","",AB692-P692)</f>
        <v/>
      </c>
      <c r="AI692" s="18">
        <f>IF(COUNTA(W692:AB692)=0,"未入力",IF(COUNTA(W692:AB692)&lt;6,"一部入力",IF(COUNTIF(AC692:AH692,0)=6,"一致","差分あり")))</f>
        <v/>
      </c>
      <c r="AJ69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2" s="19" t="inlineStr"/>
      <c r="AL692" s="18" t="inlineStr">
        <is>
          <t>2026-06-29</t>
        </is>
      </c>
    </row>
    <row r="693" ht="22" customHeight="1">
      <c r="A693" s="17" t="inlineStr">
        <is>
          <t>1008608-LB0</t>
        </is>
      </c>
      <c r="B693" s="18" t="n">
        <v>1008608</v>
      </c>
      <c r="C693" s="17" t="inlineStr">
        <is>
          <t>CSkopovskaya08</t>
        </is>
      </c>
      <c r="D693" s="17" t="inlineStr">
        <is>
          <t>CSkopovskaya</t>
        </is>
      </c>
      <c r="E693" s="17" t="inlineStr">
        <is>
          <t>シャルロッタ・スコポフスカヤ</t>
        </is>
      </c>
      <c r="F693" s="19" t="inlineStr">
        <is>
          <t>異国のプリンツェッサ</t>
        </is>
      </c>
      <c r="G693" s="18" t="inlineStr">
        <is>
          <t>SSR</t>
        </is>
      </c>
      <c r="H693" s="17" t="inlineStr">
        <is>
          <t>Debuffer</t>
        </is>
      </c>
      <c r="I693" s="18" t="n">
        <v>0</v>
      </c>
      <c r="J693" s="18" t="n">
        <v>4</v>
      </c>
      <c r="K693" s="18" t="n">
        <v>397</v>
      </c>
      <c r="L693" s="18" t="n">
        <v>407</v>
      </c>
      <c r="M693" s="18" t="n">
        <v>448</v>
      </c>
      <c r="N693" s="18" t="n">
        <v>410</v>
      </c>
      <c r="O693" s="18" t="n">
        <v>394</v>
      </c>
      <c r="P693" s="18" t="n">
        <v>359</v>
      </c>
      <c r="Q693" s="18" t="n">
        <v>40</v>
      </c>
      <c r="R693" s="18" t="n">
        <v>41</v>
      </c>
      <c r="S693" s="18" t="n">
        <v>45</v>
      </c>
      <c r="T693" s="18" t="n">
        <v>41</v>
      </c>
      <c r="U693" s="18" t="n">
        <v>40</v>
      </c>
      <c r="V693" s="18" t="n">
        <v>36</v>
      </c>
      <c r="W693" s="20" t="n"/>
      <c r="X693" s="20" t="n"/>
      <c r="Y693" s="20" t="n"/>
      <c r="Z693" s="20" t="n"/>
      <c r="AA693" s="20" t="n"/>
      <c r="AB693" s="20" t="n"/>
      <c r="AC693" s="21">
        <f>IF(W693="","",W693-K693)</f>
        <v/>
      </c>
      <c r="AD693" s="21">
        <f>IF(X693="","",X693-L693)</f>
        <v/>
      </c>
      <c r="AE693" s="21">
        <f>IF(Y693="","",Y693-M693)</f>
        <v/>
      </c>
      <c r="AF693" s="21">
        <f>IF(Z693="","",Z693-N693)</f>
        <v/>
      </c>
      <c r="AG693" s="21">
        <f>IF(AA693="","",AA693-O693)</f>
        <v/>
      </c>
      <c r="AH693" s="21">
        <f>IF(AB693="","",AB693-P693)</f>
        <v/>
      </c>
      <c r="AI693" s="18">
        <f>IF(COUNTA(W693:AB693)=0,"未入力",IF(COUNTA(W693:AB693)&lt;6,"一部入力",IF(COUNTIF(AC693:AH693,0)=6,"一致","差分あり")))</f>
        <v/>
      </c>
      <c r="AJ69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3" s="19" t="inlineStr"/>
      <c r="AL693" s="18" t="inlineStr">
        <is>
          <t>2026-06-29</t>
        </is>
      </c>
    </row>
    <row r="694" ht="22" customHeight="1">
      <c r="A694" s="17" t="inlineStr">
        <is>
          <t>1008608-LB4</t>
        </is>
      </c>
      <c r="B694" s="18" t="n">
        <v>1008608</v>
      </c>
      <c r="C694" s="17" t="inlineStr">
        <is>
          <t>CSkopovskaya08</t>
        </is>
      </c>
      <c r="D694" s="17" t="inlineStr">
        <is>
          <t>CSkopovskaya</t>
        </is>
      </c>
      <c r="E694" s="17" t="inlineStr">
        <is>
          <t>シャルロッタ・スコポフスカヤ</t>
        </is>
      </c>
      <c r="F694" s="19" t="inlineStr">
        <is>
          <t>異国のプリンツェッサ</t>
        </is>
      </c>
      <c r="G694" s="18" t="inlineStr">
        <is>
          <t>SSR</t>
        </is>
      </c>
      <c r="H694" s="17" t="inlineStr">
        <is>
          <t>Debuffer</t>
        </is>
      </c>
      <c r="I694" s="18" t="n">
        <v>4</v>
      </c>
      <c r="J694" s="18" t="n">
        <v>4</v>
      </c>
      <c r="K694" s="18" t="n">
        <v>484</v>
      </c>
      <c r="L694" s="18" t="n">
        <v>497</v>
      </c>
      <c r="M694" s="18" t="n">
        <v>539</v>
      </c>
      <c r="N694" s="18" t="n">
        <v>497</v>
      </c>
      <c r="O694" s="18" t="n">
        <v>483</v>
      </c>
      <c r="P694" s="18" t="n">
        <v>446</v>
      </c>
      <c r="Q694" s="18" t="n">
        <v>49</v>
      </c>
      <c r="R694" s="18" t="n">
        <v>50</v>
      </c>
      <c r="S694" s="18" t="n">
        <v>54</v>
      </c>
      <c r="T694" s="18" t="n">
        <v>50</v>
      </c>
      <c r="U694" s="18" t="n">
        <v>49</v>
      </c>
      <c r="V694" s="18" t="n">
        <v>45</v>
      </c>
      <c r="W694" s="20" t="n"/>
      <c r="X694" s="20" t="n"/>
      <c r="Y694" s="20" t="n"/>
      <c r="Z694" s="20" t="n"/>
      <c r="AA694" s="20" t="n"/>
      <c r="AB694" s="20" t="n"/>
      <c r="AC694" s="21">
        <f>IF(W694="","",W694-K694)</f>
        <v/>
      </c>
      <c r="AD694" s="21">
        <f>IF(X694="","",X694-L694)</f>
        <v/>
      </c>
      <c r="AE694" s="21">
        <f>IF(Y694="","",Y694-M694)</f>
        <v/>
      </c>
      <c r="AF694" s="21">
        <f>IF(Z694="","",Z694-N694)</f>
        <v/>
      </c>
      <c r="AG694" s="21">
        <f>IF(AA694="","",AA694-O694)</f>
        <v/>
      </c>
      <c r="AH694" s="21">
        <f>IF(AB694="","",AB694-P694)</f>
        <v/>
      </c>
      <c r="AI694" s="18">
        <f>IF(COUNTA(W694:AB694)=0,"未入力",IF(COUNTA(W694:AB694)&lt;6,"一部入力",IF(COUNTIF(AC694:AH694,0)=6,"一致","差分あり")))</f>
        <v/>
      </c>
      <c r="AJ69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4" s="19" t="inlineStr"/>
      <c r="AL694" s="18" t="inlineStr">
        <is>
          <t>2026-06-29</t>
        </is>
      </c>
    </row>
    <row r="695" ht="22" customHeight="1">
      <c r="A695" s="17" t="inlineStr">
        <is>
          <t>1010103-LB0</t>
        </is>
      </c>
      <c r="B695" s="18" t="n">
        <v>1010103</v>
      </c>
      <c r="C695" s="17" t="inlineStr">
        <is>
          <t>STezuka03</t>
        </is>
      </c>
      <c r="D695" s="17" t="inlineStr">
        <is>
          <t>STezuka</t>
        </is>
      </c>
      <c r="E695" s="17" t="inlineStr">
        <is>
          <t>手塚 咲</t>
        </is>
      </c>
      <c r="F695" s="19" t="inlineStr">
        <is>
          <t>希望の暁</t>
        </is>
      </c>
      <c r="G695" s="18" t="inlineStr">
        <is>
          <t>SSR</t>
        </is>
      </c>
      <c r="H695" s="17" t="inlineStr">
        <is>
          <t>Attacker</t>
        </is>
      </c>
      <c r="I695" s="18" t="n">
        <v>0</v>
      </c>
      <c r="J695" s="18" t="n">
        <v>4</v>
      </c>
      <c r="K695" s="18" t="n">
        <v>410</v>
      </c>
      <c r="L695" s="18" t="n">
        <v>336</v>
      </c>
      <c r="M695" s="18" t="n">
        <v>358</v>
      </c>
      <c r="N695" s="18" t="n">
        <v>371</v>
      </c>
      <c r="O695" s="18" t="n">
        <v>371</v>
      </c>
      <c r="P695" s="18" t="n">
        <v>387</v>
      </c>
      <c r="Q695" s="18" t="n">
        <v>41</v>
      </c>
      <c r="R695" s="18" t="n">
        <v>34</v>
      </c>
      <c r="S695" s="18" t="n">
        <v>36</v>
      </c>
      <c r="T695" s="18" t="n">
        <v>38</v>
      </c>
      <c r="U695" s="18" t="n">
        <v>38</v>
      </c>
      <c r="V695" s="18" t="n">
        <v>39</v>
      </c>
      <c r="W695" s="20" t="n"/>
      <c r="X695" s="20" t="n"/>
      <c r="Y695" s="20" t="n"/>
      <c r="Z695" s="20" t="n"/>
      <c r="AA695" s="20" t="n"/>
      <c r="AB695" s="20" t="n"/>
      <c r="AC695" s="21">
        <f>IF(W695="","",W695-K695)</f>
        <v/>
      </c>
      <c r="AD695" s="21">
        <f>IF(X695="","",X695-L695)</f>
        <v/>
      </c>
      <c r="AE695" s="21">
        <f>IF(Y695="","",Y695-M695)</f>
        <v/>
      </c>
      <c r="AF695" s="21">
        <f>IF(Z695="","",Z695-N695)</f>
        <v/>
      </c>
      <c r="AG695" s="21">
        <f>IF(AA695="","",AA695-O695)</f>
        <v/>
      </c>
      <c r="AH695" s="21">
        <f>IF(AB695="","",AB695-P695)</f>
        <v/>
      </c>
      <c r="AI695" s="18">
        <f>IF(COUNTA(W695:AB695)=0,"未入力",IF(COUNTA(W695:AB695)&lt;6,"一部入力",IF(COUNTIF(AC695:AH695,0)=6,"一致","差分あり")))</f>
        <v/>
      </c>
      <c r="AJ69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5" s="19" t="inlineStr"/>
      <c r="AL695" s="18" t="inlineStr">
        <is>
          <t>2026-06-29</t>
        </is>
      </c>
    </row>
    <row r="696" ht="22" customHeight="1">
      <c r="A696" s="17" t="inlineStr">
        <is>
          <t>1010103-LB4</t>
        </is>
      </c>
      <c r="B696" s="18" t="n">
        <v>1010103</v>
      </c>
      <c r="C696" s="17" t="inlineStr">
        <is>
          <t>STezuka03</t>
        </is>
      </c>
      <c r="D696" s="17" t="inlineStr">
        <is>
          <t>STezuka</t>
        </is>
      </c>
      <c r="E696" s="17" t="inlineStr">
        <is>
          <t>手塚 咲</t>
        </is>
      </c>
      <c r="F696" s="19" t="inlineStr">
        <is>
          <t>希望の暁</t>
        </is>
      </c>
      <c r="G696" s="18" t="inlineStr">
        <is>
          <t>SSR</t>
        </is>
      </c>
      <c r="H696" s="17" t="inlineStr">
        <is>
          <t>Attacker</t>
        </is>
      </c>
      <c r="I696" s="18" t="n">
        <v>4</v>
      </c>
      <c r="J696" s="18" t="n">
        <v>4</v>
      </c>
      <c r="K696" s="18" t="n">
        <v>497</v>
      </c>
      <c r="L696" s="18" t="n">
        <v>422</v>
      </c>
      <c r="M696" s="18" t="n">
        <v>444</v>
      </c>
      <c r="N696" s="18" t="n">
        <v>457</v>
      </c>
      <c r="O696" s="18" t="n">
        <v>457</v>
      </c>
      <c r="P696" s="18" t="n">
        <v>473</v>
      </c>
      <c r="Q696" s="18" t="n">
        <v>50</v>
      </c>
      <c r="R696" s="18" t="n">
        <v>43</v>
      </c>
      <c r="S696" s="18" t="n">
        <v>45</v>
      </c>
      <c r="T696" s="18" t="n">
        <v>46</v>
      </c>
      <c r="U696" s="18" t="n">
        <v>46</v>
      </c>
      <c r="V696" s="18" t="n">
        <v>48</v>
      </c>
      <c r="W696" s="20" t="n"/>
      <c r="X696" s="20" t="n"/>
      <c r="Y696" s="20" t="n"/>
      <c r="Z696" s="20" t="n"/>
      <c r="AA696" s="20" t="n"/>
      <c r="AB696" s="20" t="n"/>
      <c r="AC696" s="21">
        <f>IF(W696="","",W696-K696)</f>
        <v/>
      </c>
      <c r="AD696" s="21">
        <f>IF(X696="","",X696-L696)</f>
        <v/>
      </c>
      <c r="AE696" s="21">
        <f>IF(Y696="","",Y696-M696)</f>
        <v/>
      </c>
      <c r="AF696" s="21">
        <f>IF(Z696="","",Z696-N696)</f>
        <v/>
      </c>
      <c r="AG696" s="21">
        <f>IF(AA696="","",AA696-O696)</f>
        <v/>
      </c>
      <c r="AH696" s="21">
        <f>IF(AB696="","",AB696-P696)</f>
        <v/>
      </c>
      <c r="AI696" s="18">
        <f>IF(COUNTA(W696:AB696)=0,"未入力",IF(COUNTA(W696:AB696)&lt;6,"一部入力",IF(COUNTIF(AC696:AH696,0)=6,"一致","差分あり")))</f>
        <v/>
      </c>
      <c r="AJ69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6" s="19" t="inlineStr"/>
      <c r="AL696" s="18" t="inlineStr">
        <is>
          <t>2026-06-29</t>
        </is>
      </c>
    </row>
    <row r="697" ht="22" customHeight="1">
      <c r="A697" s="17" t="inlineStr">
        <is>
          <t>1010203-LB0</t>
        </is>
      </c>
      <c r="B697" s="18" t="n">
        <v>1010203</v>
      </c>
      <c r="C697" s="17" t="inlineStr">
        <is>
          <t>NNanase03</t>
        </is>
      </c>
      <c r="D697" s="17" t="inlineStr">
        <is>
          <t>NNanase</t>
        </is>
      </c>
      <c r="E697" s="17" t="inlineStr">
        <is>
          <t>七瀬 七海</t>
        </is>
      </c>
      <c r="F697" s="19" t="inlineStr">
        <is>
          <t>エンジェルクライシス</t>
        </is>
      </c>
      <c r="G697" s="18" t="inlineStr">
        <is>
          <t>SSR</t>
        </is>
      </c>
      <c r="H697" s="17" t="inlineStr">
        <is>
          <t>Rider</t>
        </is>
      </c>
      <c r="I697" s="18" t="n">
        <v>0</v>
      </c>
      <c r="J697" s="18" t="n">
        <v>4</v>
      </c>
      <c r="K697" s="18" t="n">
        <v>410</v>
      </c>
      <c r="L697" s="18" t="n">
        <v>336</v>
      </c>
      <c r="M697" s="18" t="n">
        <v>362</v>
      </c>
      <c r="N697" s="18" t="n">
        <v>374</v>
      </c>
      <c r="O697" s="18" t="n">
        <v>371</v>
      </c>
      <c r="P697" s="18" t="n">
        <v>387</v>
      </c>
      <c r="Q697" s="18" t="n">
        <v>41</v>
      </c>
      <c r="R697" s="18" t="n">
        <v>34</v>
      </c>
      <c r="S697" s="18" t="n">
        <v>37</v>
      </c>
      <c r="T697" s="18" t="n">
        <v>38</v>
      </c>
      <c r="U697" s="18" t="n">
        <v>38</v>
      </c>
      <c r="V697" s="18" t="n">
        <v>39</v>
      </c>
      <c r="W697" s="20" t="n"/>
      <c r="X697" s="20" t="n"/>
      <c r="Y697" s="20" t="n"/>
      <c r="Z697" s="20" t="n"/>
      <c r="AA697" s="20" t="n"/>
      <c r="AB697" s="20" t="n"/>
      <c r="AC697" s="21">
        <f>IF(W697="","",W697-K697)</f>
        <v/>
      </c>
      <c r="AD697" s="21">
        <f>IF(X697="","",X697-L697)</f>
        <v/>
      </c>
      <c r="AE697" s="21">
        <f>IF(Y697="","",Y697-M697)</f>
        <v/>
      </c>
      <c r="AF697" s="21">
        <f>IF(Z697="","",Z697-N697)</f>
        <v/>
      </c>
      <c r="AG697" s="21">
        <f>IF(AA697="","",AA697-O697)</f>
        <v/>
      </c>
      <c r="AH697" s="21">
        <f>IF(AB697="","",AB697-P697)</f>
        <v/>
      </c>
      <c r="AI697" s="18">
        <f>IF(COUNTA(W697:AB697)=0,"未入力",IF(COUNTA(W697:AB697)&lt;6,"一部入力",IF(COUNTIF(AC697:AH697,0)=6,"一致","差分あり")))</f>
        <v/>
      </c>
      <c r="AJ69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7" s="19" t="inlineStr"/>
      <c r="AL697" s="18" t="inlineStr">
        <is>
          <t>2026-06-29</t>
        </is>
      </c>
    </row>
    <row r="698" ht="22" customHeight="1">
      <c r="A698" s="17" t="inlineStr">
        <is>
          <t>1010203-LB4</t>
        </is>
      </c>
      <c r="B698" s="18" t="n">
        <v>1010203</v>
      </c>
      <c r="C698" s="17" t="inlineStr">
        <is>
          <t>NNanase03</t>
        </is>
      </c>
      <c r="D698" s="17" t="inlineStr">
        <is>
          <t>NNanase</t>
        </is>
      </c>
      <c r="E698" s="17" t="inlineStr">
        <is>
          <t>七瀬 七海</t>
        </is>
      </c>
      <c r="F698" s="19" t="inlineStr">
        <is>
          <t>エンジェルクライシス</t>
        </is>
      </c>
      <c r="G698" s="18" t="inlineStr">
        <is>
          <t>SSR</t>
        </is>
      </c>
      <c r="H698" s="17" t="inlineStr">
        <is>
          <t>Rider</t>
        </is>
      </c>
      <c r="I698" s="18" t="n">
        <v>4</v>
      </c>
      <c r="J698" s="18" t="n">
        <v>4</v>
      </c>
      <c r="K698" s="18" t="n">
        <v>497</v>
      </c>
      <c r="L698" s="18" t="n">
        <v>422</v>
      </c>
      <c r="M698" s="18" t="n">
        <v>450</v>
      </c>
      <c r="N698" s="18" t="n">
        <v>461</v>
      </c>
      <c r="O698" s="18" t="n">
        <v>457</v>
      </c>
      <c r="P698" s="18" t="n">
        <v>473</v>
      </c>
      <c r="Q698" s="18" t="n">
        <v>50</v>
      </c>
      <c r="R698" s="18" t="n">
        <v>43</v>
      </c>
      <c r="S698" s="18" t="n">
        <v>45</v>
      </c>
      <c r="T698" s="18" t="n">
        <v>47</v>
      </c>
      <c r="U698" s="18" t="n">
        <v>46</v>
      </c>
      <c r="V698" s="18" t="n">
        <v>48</v>
      </c>
      <c r="W698" s="20" t="n"/>
      <c r="X698" s="20" t="n"/>
      <c r="Y698" s="20" t="n"/>
      <c r="Z698" s="20" t="n"/>
      <c r="AA698" s="20" t="n"/>
      <c r="AB698" s="20" t="n"/>
      <c r="AC698" s="21">
        <f>IF(W698="","",W698-K698)</f>
        <v/>
      </c>
      <c r="AD698" s="21">
        <f>IF(X698="","",X698-L698)</f>
        <v/>
      </c>
      <c r="AE698" s="21">
        <f>IF(Y698="","",Y698-M698)</f>
        <v/>
      </c>
      <c r="AF698" s="21">
        <f>IF(Z698="","",Z698-N698)</f>
        <v/>
      </c>
      <c r="AG698" s="21">
        <f>IF(AA698="","",AA698-O698)</f>
        <v/>
      </c>
      <c r="AH698" s="21">
        <f>IF(AB698="","",AB698-P698)</f>
        <v/>
      </c>
      <c r="AI698" s="18">
        <f>IF(COUNTA(W698:AB698)=0,"未入力",IF(COUNTA(W698:AB698)&lt;6,"一部入力",IF(COUNTIF(AC698:AH698,0)=6,"一致","差分あり")))</f>
        <v/>
      </c>
      <c r="AJ69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8" s="19" t="inlineStr"/>
      <c r="AL698" s="18" t="inlineStr">
        <is>
          <t>2026-06-29</t>
        </is>
      </c>
    </row>
    <row r="699" ht="22" customHeight="1">
      <c r="A699" s="17" t="inlineStr">
        <is>
          <t>1010204-LB0</t>
        </is>
      </c>
      <c r="B699" s="18" t="n">
        <v>1010204</v>
      </c>
      <c r="C699" s="17" t="inlineStr">
        <is>
          <t>NNanase04</t>
        </is>
      </c>
      <c r="D699" s="17" t="inlineStr">
        <is>
          <t>NNanase</t>
        </is>
      </c>
      <c r="E699" s="17" t="inlineStr">
        <is>
          <t>七瀬 七海</t>
        </is>
      </c>
      <c r="F699" s="19" t="inlineStr">
        <is>
          <t>約束は暁の彼方で</t>
        </is>
      </c>
      <c r="G699" s="18" t="inlineStr">
        <is>
          <t>SSR</t>
        </is>
      </c>
      <c r="H699" s="17" t="inlineStr">
        <is>
          <t>Admiral</t>
        </is>
      </c>
      <c r="I699" s="18" t="n">
        <v>0</v>
      </c>
      <c r="J699" s="18" t="n">
        <v>4</v>
      </c>
      <c r="K699" s="18" t="n">
        <v>375</v>
      </c>
      <c r="L699" s="18" t="n">
        <v>371</v>
      </c>
      <c r="M699" s="18" t="n">
        <v>410</v>
      </c>
      <c r="N699" s="18" t="n">
        <v>387</v>
      </c>
      <c r="O699" s="18" t="n">
        <v>358</v>
      </c>
      <c r="P699" s="18" t="n">
        <v>339</v>
      </c>
      <c r="Q699" s="18" t="n">
        <v>38</v>
      </c>
      <c r="R699" s="18" t="n">
        <v>38</v>
      </c>
      <c r="S699" s="18" t="n">
        <v>41</v>
      </c>
      <c r="T699" s="18" t="n">
        <v>39</v>
      </c>
      <c r="U699" s="18" t="n">
        <v>36</v>
      </c>
      <c r="V699" s="18" t="n">
        <v>34</v>
      </c>
      <c r="W699" s="20" t="n"/>
      <c r="X699" s="20" t="n"/>
      <c r="Y699" s="20" t="n"/>
      <c r="Z699" s="20" t="n"/>
      <c r="AA699" s="20" t="n"/>
      <c r="AB699" s="20" t="n"/>
      <c r="AC699" s="21">
        <f>IF(W699="","",W699-K699)</f>
        <v/>
      </c>
      <c r="AD699" s="21">
        <f>IF(X699="","",X699-L699)</f>
        <v/>
      </c>
      <c r="AE699" s="21">
        <f>IF(Y699="","",Y699-M699)</f>
        <v/>
      </c>
      <c r="AF699" s="21">
        <f>IF(Z699="","",Z699-N699)</f>
        <v/>
      </c>
      <c r="AG699" s="21">
        <f>IF(AA699="","",AA699-O699)</f>
        <v/>
      </c>
      <c r="AH699" s="21">
        <f>IF(AB699="","",AB699-P699)</f>
        <v/>
      </c>
      <c r="AI699" s="18">
        <f>IF(COUNTA(W699:AB699)=0,"未入力",IF(COUNTA(W699:AB699)&lt;6,"一部入力",IF(COUNTIF(AC699:AH699,0)=6,"一致","差分あり")))</f>
        <v/>
      </c>
      <c r="AJ69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699" s="19" t="inlineStr"/>
      <c r="AL699" s="18" t="inlineStr">
        <is>
          <t>2026-06-29</t>
        </is>
      </c>
    </row>
    <row r="700" ht="22" customHeight="1">
      <c r="A700" s="17" t="inlineStr">
        <is>
          <t>1010204-LB4</t>
        </is>
      </c>
      <c r="B700" s="18" t="n">
        <v>1010204</v>
      </c>
      <c r="C700" s="17" t="inlineStr">
        <is>
          <t>NNanase04</t>
        </is>
      </c>
      <c r="D700" s="17" t="inlineStr">
        <is>
          <t>NNanase</t>
        </is>
      </c>
      <c r="E700" s="17" t="inlineStr">
        <is>
          <t>七瀬 七海</t>
        </is>
      </c>
      <c r="F700" s="19" t="inlineStr">
        <is>
          <t>約束は暁の彼方で</t>
        </is>
      </c>
      <c r="G700" s="18" t="inlineStr">
        <is>
          <t>SSR</t>
        </is>
      </c>
      <c r="H700" s="17" t="inlineStr">
        <is>
          <t>Admiral</t>
        </is>
      </c>
      <c r="I700" s="18" t="n">
        <v>4</v>
      </c>
      <c r="J700" s="18" t="n">
        <v>4</v>
      </c>
      <c r="K700" s="18" t="n">
        <v>463</v>
      </c>
      <c r="L700" s="18" t="n">
        <v>457</v>
      </c>
      <c r="M700" s="18" t="n">
        <v>497</v>
      </c>
      <c r="N700" s="18" t="n">
        <v>473</v>
      </c>
      <c r="O700" s="18" t="n">
        <v>444</v>
      </c>
      <c r="P700" s="18" t="n">
        <v>426</v>
      </c>
      <c r="Q700" s="18" t="n">
        <v>47</v>
      </c>
      <c r="R700" s="18" t="n">
        <v>46</v>
      </c>
      <c r="S700" s="18" t="n">
        <v>50</v>
      </c>
      <c r="T700" s="18" t="n">
        <v>48</v>
      </c>
      <c r="U700" s="18" t="n">
        <v>45</v>
      </c>
      <c r="V700" s="18" t="n">
        <v>43</v>
      </c>
      <c r="W700" s="20" t="n"/>
      <c r="X700" s="20" t="n"/>
      <c r="Y700" s="20" t="n"/>
      <c r="Z700" s="20" t="n"/>
      <c r="AA700" s="20" t="n"/>
      <c r="AB700" s="20" t="n"/>
      <c r="AC700" s="21">
        <f>IF(W700="","",W700-K700)</f>
        <v/>
      </c>
      <c r="AD700" s="21">
        <f>IF(X700="","",X700-L700)</f>
        <v/>
      </c>
      <c r="AE700" s="21">
        <f>IF(Y700="","",Y700-M700)</f>
        <v/>
      </c>
      <c r="AF700" s="21">
        <f>IF(Z700="","",Z700-N700)</f>
        <v/>
      </c>
      <c r="AG700" s="21">
        <f>IF(AA700="","",AA700-O700)</f>
        <v/>
      </c>
      <c r="AH700" s="21">
        <f>IF(AB700="","",AB700-P700)</f>
        <v/>
      </c>
      <c r="AI700" s="18">
        <f>IF(COUNTA(W700:AB700)=0,"未入力",IF(COUNTA(W700:AB700)&lt;6,"一部入力",IF(COUNTIF(AC700:AH700,0)=6,"一致","差分あり")))</f>
        <v/>
      </c>
      <c r="AJ70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0" s="19" t="inlineStr"/>
      <c r="AL700" s="18" t="inlineStr">
        <is>
          <t>2026-06-29</t>
        </is>
      </c>
    </row>
    <row r="701" ht="22" customHeight="1">
      <c r="A701" s="17" t="inlineStr">
        <is>
          <t>1020103-LB0</t>
        </is>
      </c>
      <c r="B701" s="18" t="n">
        <v>1020103</v>
      </c>
      <c r="C701" s="17" t="inlineStr">
        <is>
          <t>AliceA03</t>
        </is>
      </c>
      <c r="D701" s="17" t="inlineStr">
        <is>
          <t>AliceA</t>
        </is>
      </c>
      <c r="E701" s="17" t="inlineStr">
        <is>
          <t>立華 かなで</t>
        </is>
      </c>
      <c r="F701" s="19" t="inlineStr">
        <is>
          <t>Earth Angel</t>
        </is>
      </c>
      <c r="G701" s="18" t="inlineStr">
        <is>
          <t>SS</t>
        </is>
      </c>
      <c r="H701" s="17" t="inlineStr">
        <is>
          <t>Attacker</t>
        </is>
      </c>
      <c r="I701" s="18" t="n">
        <v>0</v>
      </c>
      <c r="J701" s="18" t="n">
        <v>4</v>
      </c>
      <c r="K701" s="18" t="n">
        <v>422</v>
      </c>
      <c r="L701" s="18" t="n">
        <v>332</v>
      </c>
      <c r="M701" s="18" t="n">
        <v>356</v>
      </c>
      <c r="N701" s="18" t="n">
        <v>374</v>
      </c>
      <c r="O701" s="18" t="n">
        <v>368</v>
      </c>
      <c r="P701" s="18" t="n">
        <v>390</v>
      </c>
      <c r="Q701" s="18" t="n">
        <v>43</v>
      </c>
      <c r="R701" s="18" t="n">
        <v>34</v>
      </c>
      <c r="S701" s="18" t="n">
        <v>36</v>
      </c>
      <c r="T701" s="18" t="n">
        <v>38</v>
      </c>
      <c r="U701" s="18" t="n">
        <v>37</v>
      </c>
      <c r="V701" s="18" t="n">
        <v>39</v>
      </c>
      <c r="W701" s="20" t="n"/>
      <c r="X701" s="20" t="n"/>
      <c r="Y701" s="20" t="n"/>
      <c r="Z701" s="20" t="n"/>
      <c r="AA701" s="20" t="n"/>
      <c r="AB701" s="20" t="n"/>
      <c r="AC701" s="21">
        <f>IF(W701="","",W701-K701)</f>
        <v/>
      </c>
      <c r="AD701" s="21">
        <f>IF(X701="","",X701-L701)</f>
        <v/>
      </c>
      <c r="AE701" s="21">
        <f>IF(Y701="","",Y701-M701)</f>
        <v/>
      </c>
      <c r="AF701" s="21">
        <f>IF(Z701="","",Z701-N701)</f>
        <v/>
      </c>
      <c r="AG701" s="21">
        <f>IF(AA701="","",AA701-O701)</f>
        <v/>
      </c>
      <c r="AH701" s="21">
        <f>IF(AB701="","",AB701-P701)</f>
        <v/>
      </c>
      <c r="AI701" s="18">
        <f>IF(COUNTA(W701:AB701)=0,"未入力",IF(COUNTA(W701:AB701)&lt;6,"一部入力",IF(COUNTIF(AC701:AH701,0)=6,"一致","差分あり")))</f>
        <v/>
      </c>
      <c r="AJ70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1" s="19" t="inlineStr"/>
      <c r="AL701" s="18" t="inlineStr">
        <is>
          <t>2026-06-29</t>
        </is>
      </c>
    </row>
    <row r="702" ht="22" customHeight="1">
      <c r="A702" s="17" t="inlineStr">
        <is>
          <t>1020103-LB4</t>
        </is>
      </c>
      <c r="B702" s="18" t="n">
        <v>1020103</v>
      </c>
      <c r="C702" s="17" t="inlineStr">
        <is>
          <t>AliceA03</t>
        </is>
      </c>
      <c r="D702" s="17" t="inlineStr">
        <is>
          <t>AliceA</t>
        </is>
      </c>
      <c r="E702" s="17" t="inlineStr">
        <is>
          <t>立華 かなで</t>
        </is>
      </c>
      <c r="F702" s="19" t="inlineStr">
        <is>
          <t>Earth Angel</t>
        </is>
      </c>
      <c r="G702" s="18" t="inlineStr">
        <is>
          <t>SS</t>
        </is>
      </c>
      <c r="H702" s="17" t="inlineStr">
        <is>
          <t>Attacker</t>
        </is>
      </c>
      <c r="I702" s="18" t="n">
        <v>4</v>
      </c>
      <c r="J702" s="18" t="n">
        <v>4</v>
      </c>
      <c r="K702" s="18" t="n">
        <v>512</v>
      </c>
      <c r="L702" s="18" t="n">
        <v>417</v>
      </c>
      <c r="M702" s="18" t="n">
        <v>442</v>
      </c>
      <c r="N702" s="18" t="n">
        <v>461</v>
      </c>
      <c r="O702" s="18" t="n">
        <v>453</v>
      </c>
      <c r="P702" s="18" t="n">
        <v>477</v>
      </c>
      <c r="Q702" s="18" t="n">
        <v>52</v>
      </c>
      <c r="R702" s="18" t="n">
        <v>42</v>
      </c>
      <c r="S702" s="18" t="n">
        <v>45</v>
      </c>
      <c r="T702" s="18" t="n">
        <v>47</v>
      </c>
      <c r="U702" s="18" t="n">
        <v>46</v>
      </c>
      <c r="V702" s="18" t="n">
        <v>48</v>
      </c>
      <c r="W702" s="20" t="n"/>
      <c r="X702" s="20" t="n"/>
      <c r="Y702" s="20" t="n"/>
      <c r="Z702" s="20" t="n"/>
      <c r="AA702" s="20" t="n"/>
      <c r="AB702" s="20" t="n"/>
      <c r="AC702" s="21">
        <f>IF(W702="","",W702-K702)</f>
        <v/>
      </c>
      <c r="AD702" s="21">
        <f>IF(X702="","",X702-L702)</f>
        <v/>
      </c>
      <c r="AE702" s="21">
        <f>IF(Y702="","",Y702-M702)</f>
        <v/>
      </c>
      <c r="AF702" s="21">
        <f>IF(Z702="","",Z702-N702)</f>
        <v/>
      </c>
      <c r="AG702" s="21">
        <f>IF(AA702="","",AA702-O702)</f>
        <v/>
      </c>
      <c r="AH702" s="21">
        <f>IF(AB702="","",AB702-P702)</f>
        <v/>
      </c>
      <c r="AI702" s="18">
        <f>IF(COUNTA(W702:AB702)=0,"未入力",IF(COUNTA(W702:AB702)&lt;6,"一部入力",IF(COUNTIF(AC702:AH702,0)=6,"一致","差分あり")))</f>
        <v/>
      </c>
      <c r="AJ70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2" s="19" t="inlineStr"/>
      <c r="AL702" s="18" t="inlineStr">
        <is>
          <t>2026-06-29</t>
        </is>
      </c>
    </row>
    <row r="703" ht="22" customHeight="1">
      <c r="A703" s="17" t="inlineStr">
        <is>
          <t>1020104-LB0</t>
        </is>
      </c>
      <c r="B703" s="18" t="n">
        <v>1020104</v>
      </c>
      <c r="C703" s="17" t="inlineStr">
        <is>
          <t>AliceA04</t>
        </is>
      </c>
      <c r="D703" s="17" t="inlineStr">
        <is>
          <t>AliceA</t>
        </is>
      </c>
      <c r="E703" s="17" t="inlineStr">
        <is>
          <t>立華 かなで</t>
        </is>
      </c>
      <c r="F703" s="19" t="inlineStr">
        <is>
          <t>天翔ける剣</t>
        </is>
      </c>
      <c r="G703" s="18" t="inlineStr">
        <is>
          <t>SS</t>
        </is>
      </c>
      <c r="H703" s="17" t="inlineStr">
        <is>
          <t>Attacker</t>
        </is>
      </c>
      <c r="I703" s="18" t="n">
        <v>0</v>
      </c>
      <c r="J703" s="18" t="n">
        <v>4</v>
      </c>
      <c r="K703" s="18" t="n">
        <v>422</v>
      </c>
      <c r="L703" s="18" t="n">
        <v>332</v>
      </c>
      <c r="M703" s="18" t="n">
        <v>356</v>
      </c>
      <c r="N703" s="18" t="n">
        <v>374</v>
      </c>
      <c r="O703" s="18" t="n">
        <v>368</v>
      </c>
      <c r="P703" s="18" t="n">
        <v>390</v>
      </c>
      <c r="Q703" s="18" t="n">
        <v>43</v>
      </c>
      <c r="R703" s="18" t="n">
        <v>34</v>
      </c>
      <c r="S703" s="18" t="n">
        <v>36</v>
      </c>
      <c r="T703" s="18" t="n">
        <v>38</v>
      </c>
      <c r="U703" s="18" t="n">
        <v>37</v>
      </c>
      <c r="V703" s="18" t="n">
        <v>39</v>
      </c>
      <c r="W703" s="20" t="n"/>
      <c r="X703" s="20" t="n"/>
      <c r="Y703" s="20" t="n"/>
      <c r="Z703" s="20" t="n"/>
      <c r="AA703" s="20" t="n"/>
      <c r="AB703" s="20" t="n"/>
      <c r="AC703" s="21">
        <f>IF(W703="","",W703-K703)</f>
        <v/>
      </c>
      <c r="AD703" s="21">
        <f>IF(X703="","",X703-L703)</f>
        <v/>
      </c>
      <c r="AE703" s="21">
        <f>IF(Y703="","",Y703-M703)</f>
        <v/>
      </c>
      <c r="AF703" s="21">
        <f>IF(Z703="","",Z703-N703)</f>
        <v/>
      </c>
      <c r="AG703" s="21">
        <f>IF(AA703="","",AA703-O703)</f>
        <v/>
      </c>
      <c r="AH703" s="21">
        <f>IF(AB703="","",AB703-P703)</f>
        <v/>
      </c>
      <c r="AI703" s="18">
        <f>IF(COUNTA(W703:AB703)=0,"未入力",IF(COUNTA(W703:AB703)&lt;6,"一部入力",IF(COUNTIF(AC703:AH703,0)=6,"一致","差分あり")))</f>
        <v/>
      </c>
      <c r="AJ70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3" s="19" t="inlineStr"/>
      <c r="AL703" s="18" t="inlineStr">
        <is>
          <t>2026-06-29</t>
        </is>
      </c>
    </row>
    <row r="704" ht="22" customHeight="1">
      <c r="A704" s="17" t="inlineStr">
        <is>
          <t>1020104-LB4</t>
        </is>
      </c>
      <c r="B704" s="18" t="n">
        <v>1020104</v>
      </c>
      <c r="C704" s="17" t="inlineStr">
        <is>
          <t>AliceA04</t>
        </is>
      </c>
      <c r="D704" s="17" t="inlineStr">
        <is>
          <t>AliceA</t>
        </is>
      </c>
      <c r="E704" s="17" t="inlineStr">
        <is>
          <t>立華 かなで</t>
        </is>
      </c>
      <c r="F704" s="19" t="inlineStr">
        <is>
          <t>天翔ける剣</t>
        </is>
      </c>
      <c r="G704" s="18" t="inlineStr">
        <is>
          <t>SS</t>
        </is>
      </c>
      <c r="H704" s="17" t="inlineStr">
        <is>
          <t>Attacker</t>
        </is>
      </c>
      <c r="I704" s="18" t="n">
        <v>4</v>
      </c>
      <c r="J704" s="18" t="n">
        <v>4</v>
      </c>
      <c r="K704" s="18" t="n">
        <v>512</v>
      </c>
      <c r="L704" s="18" t="n">
        <v>417</v>
      </c>
      <c r="M704" s="18" t="n">
        <v>442</v>
      </c>
      <c r="N704" s="18" t="n">
        <v>461</v>
      </c>
      <c r="O704" s="18" t="n">
        <v>453</v>
      </c>
      <c r="P704" s="18" t="n">
        <v>477</v>
      </c>
      <c r="Q704" s="18" t="n">
        <v>52</v>
      </c>
      <c r="R704" s="18" t="n">
        <v>42</v>
      </c>
      <c r="S704" s="18" t="n">
        <v>45</v>
      </c>
      <c r="T704" s="18" t="n">
        <v>47</v>
      </c>
      <c r="U704" s="18" t="n">
        <v>46</v>
      </c>
      <c r="V704" s="18" t="n">
        <v>48</v>
      </c>
      <c r="W704" s="20" t="n"/>
      <c r="X704" s="20" t="n"/>
      <c r="Y704" s="20" t="n"/>
      <c r="Z704" s="20" t="n"/>
      <c r="AA704" s="20" t="n"/>
      <c r="AB704" s="20" t="n"/>
      <c r="AC704" s="21">
        <f>IF(W704="","",W704-K704)</f>
        <v/>
      </c>
      <c r="AD704" s="21">
        <f>IF(X704="","",X704-L704)</f>
        <v/>
      </c>
      <c r="AE704" s="21">
        <f>IF(Y704="","",Y704-M704)</f>
        <v/>
      </c>
      <c r="AF704" s="21">
        <f>IF(Z704="","",Z704-N704)</f>
        <v/>
      </c>
      <c r="AG704" s="21">
        <f>IF(AA704="","",AA704-O704)</f>
        <v/>
      </c>
      <c r="AH704" s="21">
        <f>IF(AB704="","",AB704-P704)</f>
        <v/>
      </c>
      <c r="AI704" s="18">
        <f>IF(COUNTA(W704:AB704)=0,"未入力",IF(COUNTA(W704:AB704)&lt;6,"一部入力",IF(COUNTIF(AC704:AH704,0)=6,"一致","差分あり")))</f>
        <v/>
      </c>
      <c r="AJ70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4" s="19" t="inlineStr"/>
      <c r="AL704" s="18" t="inlineStr">
        <is>
          <t>2026-06-29</t>
        </is>
      </c>
    </row>
    <row r="705" ht="22" customHeight="1">
      <c r="A705" s="17" t="inlineStr">
        <is>
          <t>1020203-LB0</t>
        </is>
      </c>
      <c r="B705" s="18" t="n">
        <v>1020203</v>
      </c>
      <c r="C705" s="17" t="inlineStr">
        <is>
          <t>AliceB03</t>
        </is>
      </c>
      <c r="D705" s="17" t="inlineStr">
        <is>
          <t>AliceB</t>
        </is>
      </c>
      <c r="E705" s="17" t="inlineStr">
        <is>
          <t>仲村 ゆり</t>
        </is>
      </c>
      <c r="F705" s="19" t="inlineStr">
        <is>
          <t>Rain Fire</t>
        </is>
      </c>
      <c r="G705" s="18" t="inlineStr">
        <is>
          <t>SS</t>
        </is>
      </c>
      <c r="H705" s="17" t="inlineStr">
        <is>
          <t>Blaster</t>
        </is>
      </c>
      <c r="I705" s="18" t="n">
        <v>0</v>
      </c>
      <c r="J705" s="18" t="n">
        <v>4</v>
      </c>
      <c r="K705" s="18" t="n">
        <v>413</v>
      </c>
      <c r="L705" s="18" t="n">
        <v>342</v>
      </c>
      <c r="M705" s="18" t="n">
        <v>355</v>
      </c>
      <c r="N705" s="18" t="n">
        <v>371</v>
      </c>
      <c r="O705" s="18" t="n">
        <v>369</v>
      </c>
      <c r="P705" s="18" t="n">
        <v>390</v>
      </c>
      <c r="Q705" s="18" t="n">
        <v>42</v>
      </c>
      <c r="R705" s="18" t="n">
        <v>35</v>
      </c>
      <c r="S705" s="18" t="n">
        <v>36</v>
      </c>
      <c r="T705" s="18" t="n">
        <v>38</v>
      </c>
      <c r="U705" s="18" t="n">
        <v>37</v>
      </c>
      <c r="V705" s="18" t="n">
        <v>39</v>
      </c>
      <c r="W705" s="20" t="n"/>
      <c r="X705" s="20" t="n"/>
      <c r="Y705" s="20" t="n"/>
      <c r="Z705" s="20" t="n"/>
      <c r="AA705" s="20" t="n"/>
      <c r="AB705" s="20" t="n"/>
      <c r="AC705" s="21">
        <f>IF(W705="","",W705-K705)</f>
        <v/>
      </c>
      <c r="AD705" s="21">
        <f>IF(X705="","",X705-L705)</f>
        <v/>
      </c>
      <c r="AE705" s="21">
        <f>IF(Y705="","",Y705-M705)</f>
        <v/>
      </c>
      <c r="AF705" s="21">
        <f>IF(Z705="","",Z705-N705)</f>
        <v/>
      </c>
      <c r="AG705" s="21">
        <f>IF(AA705="","",AA705-O705)</f>
        <v/>
      </c>
      <c r="AH705" s="21">
        <f>IF(AB705="","",AB705-P705)</f>
        <v/>
      </c>
      <c r="AI705" s="18">
        <f>IF(COUNTA(W705:AB705)=0,"未入力",IF(COUNTA(W705:AB705)&lt;6,"一部入力",IF(COUNTIF(AC705:AH705,0)=6,"一致","差分あり")))</f>
        <v/>
      </c>
      <c r="AJ70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5" s="19" t="inlineStr"/>
      <c r="AL705" s="18" t="inlineStr">
        <is>
          <t>2026-06-29</t>
        </is>
      </c>
    </row>
    <row r="706" ht="22" customHeight="1">
      <c r="A706" s="17" t="inlineStr">
        <is>
          <t>1020203-LB4</t>
        </is>
      </c>
      <c r="B706" s="18" t="n">
        <v>1020203</v>
      </c>
      <c r="C706" s="17" t="inlineStr">
        <is>
          <t>AliceB03</t>
        </is>
      </c>
      <c r="D706" s="17" t="inlineStr">
        <is>
          <t>AliceB</t>
        </is>
      </c>
      <c r="E706" s="17" t="inlineStr">
        <is>
          <t>仲村 ゆり</t>
        </is>
      </c>
      <c r="F706" s="19" t="inlineStr">
        <is>
          <t>Rain Fire</t>
        </is>
      </c>
      <c r="G706" s="18" t="inlineStr">
        <is>
          <t>SS</t>
        </is>
      </c>
      <c r="H706" s="17" t="inlineStr">
        <is>
          <t>Blaster</t>
        </is>
      </c>
      <c r="I706" s="18" t="n">
        <v>4</v>
      </c>
      <c r="J706" s="18" t="n">
        <v>4</v>
      </c>
      <c r="K706" s="18" t="n">
        <v>501</v>
      </c>
      <c r="L706" s="18" t="n">
        <v>430</v>
      </c>
      <c r="M706" s="18" t="n">
        <v>440</v>
      </c>
      <c r="N706" s="18" t="n">
        <v>457</v>
      </c>
      <c r="O706" s="18" t="n">
        <v>455</v>
      </c>
      <c r="P706" s="18" t="n">
        <v>477</v>
      </c>
      <c r="Q706" s="18" t="n">
        <v>51</v>
      </c>
      <c r="R706" s="18" t="n">
        <v>43</v>
      </c>
      <c r="S706" s="18" t="n">
        <v>44</v>
      </c>
      <c r="T706" s="18" t="n">
        <v>46</v>
      </c>
      <c r="U706" s="18" t="n">
        <v>46</v>
      </c>
      <c r="V706" s="18" t="n">
        <v>48</v>
      </c>
      <c r="W706" s="20" t="n"/>
      <c r="X706" s="20" t="n"/>
      <c r="Y706" s="20" t="n"/>
      <c r="Z706" s="20" t="n"/>
      <c r="AA706" s="20" t="n"/>
      <c r="AB706" s="20" t="n"/>
      <c r="AC706" s="21">
        <f>IF(W706="","",W706-K706)</f>
        <v/>
      </c>
      <c r="AD706" s="21">
        <f>IF(X706="","",X706-L706)</f>
        <v/>
      </c>
      <c r="AE706" s="21">
        <f>IF(Y706="","",Y706-M706)</f>
        <v/>
      </c>
      <c r="AF706" s="21">
        <f>IF(Z706="","",Z706-N706)</f>
        <v/>
      </c>
      <c r="AG706" s="21">
        <f>IF(AA706="","",AA706-O706)</f>
        <v/>
      </c>
      <c r="AH706" s="21">
        <f>IF(AB706="","",AB706-P706)</f>
        <v/>
      </c>
      <c r="AI706" s="18">
        <f>IF(COUNTA(W706:AB706)=0,"未入力",IF(COUNTA(W706:AB706)&lt;6,"一部入力",IF(COUNTIF(AC706:AH706,0)=6,"一致","差分あり")))</f>
        <v/>
      </c>
      <c r="AJ70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6" s="19" t="inlineStr"/>
      <c r="AL706" s="18" t="inlineStr">
        <is>
          <t>2026-06-29</t>
        </is>
      </c>
    </row>
    <row r="707" ht="22" customHeight="1">
      <c r="A707" s="17" t="inlineStr">
        <is>
          <t>1020204-LB0</t>
        </is>
      </c>
      <c r="B707" s="18" t="n">
        <v>1020204</v>
      </c>
      <c r="C707" s="17" t="inlineStr">
        <is>
          <t>AliceB04</t>
        </is>
      </c>
      <c r="D707" s="17" t="inlineStr">
        <is>
          <t>AliceB</t>
        </is>
      </c>
      <c r="E707" s="17" t="inlineStr">
        <is>
          <t>仲村 ゆり</t>
        </is>
      </c>
      <c r="F707" s="19" t="inlineStr">
        <is>
          <t>ありふれた非日常</t>
        </is>
      </c>
      <c r="G707" s="18" t="inlineStr">
        <is>
          <t>SS</t>
        </is>
      </c>
      <c r="H707" s="17" t="inlineStr">
        <is>
          <t>Breaker</t>
        </is>
      </c>
      <c r="I707" s="18" t="n">
        <v>0</v>
      </c>
      <c r="J707" s="18" t="n">
        <v>4</v>
      </c>
      <c r="K707" s="18" t="n">
        <v>343</v>
      </c>
      <c r="L707" s="18" t="n">
        <v>412</v>
      </c>
      <c r="M707" s="18" t="n">
        <v>368</v>
      </c>
      <c r="N707" s="18" t="n">
        <v>358</v>
      </c>
      <c r="O707" s="18" t="n">
        <v>382</v>
      </c>
      <c r="P707" s="18" t="n">
        <v>377</v>
      </c>
      <c r="Q707" s="18" t="n">
        <v>35</v>
      </c>
      <c r="R707" s="18" t="n">
        <v>42</v>
      </c>
      <c r="S707" s="18" t="n">
        <v>37</v>
      </c>
      <c r="T707" s="18" t="n">
        <v>36</v>
      </c>
      <c r="U707" s="18" t="n">
        <v>39</v>
      </c>
      <c r="V707" s="18" t="n">
        <v>38</v>
      </c>
      <c r="W707" s="20" t="n"/>
      <c r="X707" s="20" t="n"/>
      <c r="Y707" s="20" t="n"/>
      <c r="Z707" s="20" t="n"/>
      <c r="AA707" s="20" t="n"/>
      <c r="AB707" s="20" t="n"/>
      <c r="AC707" s="21">
        <f>IF(W707="","",W707-K707)</f>
        <v/>
      </c>
      <c r="AD707" s="21">
        <f>IF(X707="","",X707-L707)</f>
        <v/>
      </c>
      <c r="AE707" s="21">
        <f>IF(Y707="","",Y707-M707)</f>
        <v/>
      </c>
      <c r="AF707" s="21">
        <f>IF(Z707="","",Z707-N707)</f>
        <v/>
      </c>
      <c r="AG707" s="21">
        <f>IF(AA707="","",AA707-O707)</f>
        <v/>
      </c>
      <c r="AH707" s="21">
        <f>IF(AB707="","",AB707-P707)</f>
        <v/>
      </c>
      <c r="AI707" s="18">
        <f>IF(COUNTA(W707:AB707)=0,"未入力",IF(COUNTA(W707:AB707)&lt;6,"一部入力",IF(COUNTIF(AC707:AH707,0)=6,"一致","差分あり")))</f>
        <v/>
      </c>
      <c r="AJ70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7" s="19" t="inlineStr"/>
      <c r="AL707" s="18" t="inlineStr">
        <is>
          <t>2026-06-29</t>
        </is>
      </c>
    </row>
    <row r="708" ht="22" customHeight="1">
      <c r="A708" s="17" t="inlineStr">
        <is>
          <t>1020204-LB4</t>
        </is>
      </c>
      <c r="B708" s="18" t="n">
        <v>1020204</v>
      </c>
      <c r="C708" s="17" t="inlineStr">
        <is>
          <t>AliceB04</t>
        </is>
      </c>
      <c r="D708" s="17" t="inlineStr">
        <is>
          <t>AliceB</t>
        </is>
      </c>
      <c r="E708" s="17" t="inlineStr">
        <is>
          <t>仲村 ゆり</t>
        </is>
      </c>
      <c r="F708" s="19" t="inlineStr">
        <is>
          <t>ありふれた非日常</t>
        </is>
      </c>
      <c r="G708" s="18" t="inlineStr">
        <is>
          <t>SS</t>
        </is>
      </c>
      <c r="H708" s="17" t="inlineStr">
        <is>
          <t>Breaker</t>
        </is>
      </c>
      <c r="I708" s="18" t="n">
        <v>4</v>
      </c>
      <c r="J708" s="18" t="n">
        <v>4</v>
      </c>
      <c r="K708" s="18" t="n">
        <v>431</v>
      </c>
      <c r="L708" s="18" t="n">
        <v>499</v>
      </c>
      <c r="M708" s="18" t="n">
        <v>453</v>
      </c>
      <c r="N708" s="18" t="n">
        <v>444</v>
      </c>
      <c r="O708" s="18" t="n">
        <v>467</v>
      </c>
      <c r="P708" s="18" t="n">
        <v>465</v>
      </c>
      <c r="Q708" s="18" t="n">
        <v>44</v>
      </c>
      <c r="R708" s="18" t="n">
        <v>50</v>
      </c>
      <c r="S708" s="18" t="n">
        <v>46</v>
      </c>
      <c r="T708" s="18" t="n">
        <v>45</v>
      </c>
      <c r="U708" s="18" t="n">
        <v>47</v>
      </c>
      <c r="V708" s="18" t="n">
        <v>47</v>
      </c>
      <c r="W708" s="20" t="n"/>
      <c r="X708" s="20" t="n"/>
      <c r="Y708" s="20" t="n"/>
      <c r="Z708" s="20" t="n"/>
      <c r="AA708" s="20" t="n"/>
      <c r="AB708" s="20" t="n"/>
      <c r="AC708" s="21">
        <f>IF(W708="","",W708-K708)</f>
        <v/>
      </c>
      <c r="AD708" s="21">
        <f>IF(X708="","",X708-L708)</f>
        <v/>
      </c>
      <c r="AE708" s="21">
        <f>IF(Y708="","",Y708-M708)</f>
        <v/>
      </c>
      <c r="AF708" s="21">
        <f>IF(Z708="","",Z708-N708)</f>
        <v/>
      </c>
      <c r="AG708" s="21">
        <f>IF(AA708="","",AA708-O708)</f>
        <v/>
      </c>
      <c r="AH708" s="21">
        <f>IF(AB708="","",AB708-P708)</f>
        <v/>
      </c>
      <c r="AI708" s="18">
        <f>IF(COUNTA(W708:AB708)=0,"未入力",IF(COUNTA(W708:AB708)&lt;6,"一部入力",IF(COUNTIF(AC708:AH708,0)=6,"一致","差分あり")))</f>
        <v/>
      </c>
      <c r="AJ70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8" s="19" t="inlineStr"/>
      <c r="AL708" s="18" t="inlineStr">
        <is>
          <t>2026-06-29</t>
        </is>
      </c>
    </row>
    <row r="709" ht="22" customHeight="1">
      <c r="A709" s="17" t="inlineStr">
        <is>
          <t>1020302-LB0</t>
        </is>
      </c>
      <c r="B709" s="18" t="n">
        <v>1020302</v>
      </c>
      <c r="C709" s="17" t="inlineStr">
        <is>
          <t>AliceC02</t>
        </is>
      </c>
      <c r="D709" s="17" t="inlineStr">
        <is>
          <t>AliceC</t>
        </is>
      </c>
      <c r="E709" s="17" t="inlineStr">
        <is>
          <t>入江 みゆき</t>
        </is>
      </c>
      <c r="F709" s="19" t="inlineStr">
        <is>
          <t>Pure Cosmos</t>
        </is>
      </c>
      <c r="G709" s="18" t="inlineStr">
        <is>
          <t>S</t>
        </is>
      </c>
      <c r="H709" s="17" t="inlineStr">
        <is>
          <t>Defender</t>
        </is>
      </c>
      <c r="I709" s="18" t="n">
        <v>0</v>
      </c>
      <c r="J709" s="18" t="n">
        <v>10</v>
      </c>
      <c r="K709" s="18" t="n">
        <v>289</v>
      </c>
      <c r="L709" s="18" t="n">
        <v>286</v>
      </c>
      <c r="M709" s="18" t="n">
        <v>334</v>
      </c>
      <c r="N709" s="18" t="n">
        <v>331</v>
      </c>
      <c r="O709" s="18" t="n">
        <v>275</v>
      </c>
      <c r="P709" s="18" t="n">
        <v>282</v>
      </c>
      <c r="Q709" s="18" t="n">
        <v>29</v>
      </c>
      <c r="R709" s="18" t="n">
        <v>29</v>
      </c>
      <c r="S709" s="18" t="n">
        <v>34</v>
      </c>
      <c r="T709" s="18" t="n">
        <v>34</v>
      </c>
      <c r="U709" s="18" t="n">
        <v>28</v>
      </c>
      <c r="V709" s="18" t="n">
        <v>29</v>
      </c>
      <c r="W709" s="20" t="n"/>
      <c r="X709" s="20" t="n"/>
      <c r="Y709" s="20" t="n"/>
      <c r="Z709" s="20" t="n"/>
      <c r="AA709" s="20" t="n"/>
      <c r="AB709" s="20" t="n"/>
      <c r="AC709" s="21">
        <f>IF(W709="","",W709-K709)</f>
        <v/>
      </c>
      <c r="AD709" s="21">
        <f>IF(X709="","",X709-L709)</f>
        <v/>
      </c>
      <c r="AE709" s="21">
        <f>IF(Y709="","",Y709-M709)</f>
        <v/>
      </c>
      <c r="AF709" s="21">
        <f>IF(Z709="","",Z709-N709)</f>
        <v/>
      </c>
      <c r="AG709" s="21">
        <f>IF(AA709="","",AA709-O709)</f>
        <v/>
      </c>
      <c r="AH709" s="21">
        <f>IF(AB709="","",AB709-P709)</f>
        <v/>
      </c>
      <c r="AI709" s="18">
        <f>IF(COUNTA(W709:AB709)=0,"未入力",IF(COUNTA(W709:AB709)&lt;6,"一部入力",IF(COUNTIF(AC709:AH709,0)=6,"一致","差分あり")))</f>
        <v/>
      </c>
      <c r="AJ70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09" s="19" t="inlineStr"/>
      <c r="AL709" s="18" t="inlineStr">
        <is>
          <t>2026-06-29</t>
        </is>
      </c>
    </row>
    <row r="710" ht="22" customHeight="1">
      <c r="A710" s="17" t="inlineStr">
        <is>
          <t>1020302-LB10</t>
        </is>
      </c>
      <c r="B710" s="18" t="n">
        <v>1020302</v>
      </c>
      <c r="C710" s="17" t="inlineStr">
        <is>
          <t>AliceC02</t>
        </is>
      </c>
      <c r="D710" s="17" t="inlineStr">
        <is>
          <t>AliceC</t>
        </is>
      </c>
      <c r="E710" s="17" t="inlineStr">
        <is>
          <t>入江 みゆき</t>
        </is>
      </c>
      <c r="F710" s="19" t="inlineStr">
        <is>
          <t>Pure Cosmos</t>
        </is>
      </c>
      <c r="G710" s="18" t="inlineStr">
        <is>
          <t>S</t>
        </is>
      </c>
      <c r="H710" s="17" t="inlineStr">
        <is>
          <t>Defender</t>
        </is>
      </c>
      <c r="I710" s="18" t="n">
        <v>10</v>
      </c>
      <c r="J710" s="18" t="n">
        <v>10</v>
      </c>
      <c r="K710" s="18" t="n">
        <v>353</v>
      </c>
      <c r="L710" s="18" t="n">
        <v>350</v>
      </c>
      <c r="M710" s="18" t="n">
        <v>401</v>
      </c>
      <c r="N710" s="18" t="n">
        <v>397</v>
      </c>
      <c r="O710" s="18" t="n">
        <v>338</v>
      </c>
      <c r="P710" s="18" t="n">
        <v>347</v>
      </c>
      <c r="Q710" s="18" t="n">
        <v>36</v>
      </c>
      <c r="R710" s="18" t="n">
        <v>35</v>
      </c>
      <c r="S710" s="18" t="n">
        <v>41</v>
      </c>
      <c r="T710" s="18" t="n">
        <v>40</v>
      </c>
      <c r="U710" s="18" t="n">
        <v>34</v>
      </c>
      <c r="V710" s="18" t="n">
        <v>35</v>
      </c>
      <c r="W710" s="20" t="n"/>
      <c r="X710" s="20" t="n"/>
      <c r="Y710" s="20" t="n"/>
      <c r="Z710" s="20" t="n"/>
      <c r="AA710" s="20" t="n"/>
      <c r="AB710" s="20" t="n"/>
      <c r="AC710" s="21">
        <f>IF(W710="","",W710-K710)</f>
        <v/>
      </c>
      <c r="AD710" s="21">
        <f>IF(X710="","",X710-L710)</f>
        <v/>
      </c>
      <c r="AE710" s="21">
        <f>IF(Y710="","",Y710-M710)</f>
        <v/>
      </c>
      <c r="AF710" s="21">
        <f>IF(Z710="","",Z710-N710)</f>
        <v/>
      </c>
      <c r="AG710" s="21">
        <f>IF(AA710="","",AA710-O710)</f>
        <v/>
      </c>
      <c r="AH710" s="21">
        <f>IF(AB710="","",AB710-P710)</f>
        <v/>
      </c>
      <c r="AI710" s="18">
        <f>IF(COUNTA(W710:AB710)=0,"未入力",IF(COUNTA(W710:AB710)&lt;6,"一部入力",IF(COUNTIF(AC710:AH710,0)=6,"一致","差分あり")))</f>
        <v/>
      </c>
      <c r="AJ71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0" s="19" t="inlineStr"/>
      <c r="AL710" s="18" t="inlineStr">
        <is>
          <t>2026-06-29</t>
        </is>
      </c>
    </row>
    <row r="711" ht="22" customHeight="1">
      <c r="A711" s="17" t="inlineStr">
        <is>
          <t>1020303-LB0</t>
        </is>
      </c>
      <c r="B711" s="18" t="n">
        <v>1020303</v>
      </c>
      <c r="C711" s="17" t="inlineStr">
        <is>
          <t>AliceC03</t>
        </is>
      </c>
      <c r="D711" s="17" t="inlineStr">
        <is>
          <t>AliceC</t>
        </is>
      </c>
      <c r="E711" s="17" t="inlineStr">
        <is>
          <t>入江 みゆき</t>
        </is>
      </c>
      <c r="F711" s="19" t="inlineStr">
        <is>
          <t>Faraway Eden</t>
        </is>
      </c>
      <c r="G711" s="18" t="inlineStr">
        <is>
          <t>SS</t>
        </is>
      </c>
      <c r="H711" s="17" t="inlineStr">
        <is>
          <t>Defender</t>
        </is>
      </c>
      <c r="I711" s="18" t="n">
        <v>0</v>
      </c>
      <c r="J711" s="18" t="n">
        <v>4</v>
      </c>
      <c r="K711" s="18" t="n">
        <v>369</v>
      </c>
      <c r="L711" s="18" t="n">
        <v>366</v>
      </c>
      <c r="M711" s="18" t="n">
        <v>419</v>
      </c>
      <c r="N711" s="18" t="n">
        <v>393</v>
      </c>
      <c r="O711" s="18" t="n">
        <v>352</v>
      </c>
      <c r="P711" s="18" t="n">
        <v>339</v>
      </c>
      <c r="Q711" s="18" t="n">
        <v>37</v>
      </c>
      <c r="R711" s="18" t="n">
        <v>37</v>
      </c>
      <c r="S711" s="18" t="n">
        <v>42</v>
      </c>
      <c r="T711" s="18" t="n">
        <v>40</v>
      </c>
      <c r="U711" s="18" t="n">
        <v>36</v>
      </c>
      <c r="V711" s="18" t="n">
        <v>34</v>
      </c>
      <c r="W711" s="20" t="n"/>
      <c r="X711" s="20" t="n"/>
      <c r="Y711" s="20" t="n"/>
      <c r="Z711" s="20" t="n"/>
      <c r="AA711" s="20" t="n"/>
      <c r="AB711" s="20" t="n"/>
      <c r="AC711" s="21">
        <f>IF(W711="","",W711-K711)</f>
        <v/>
      </c>
      <c r="AD711" s="21">
        <f>IF(X711="","",X711-L711)</f>
        <v/>
      </c>
      <c r="AE711" s="21">
        <f>IF(Y711="","",Y711-M711)</f>
        <v/>
      </c>
      <c r="AF711" s="21">
        <f>IF(Z711="","",Z711-N711)</f>
        <v/>
      </c>
      <c r="AG711" s="21">
        <f>IF(AA711="","",AA711-O711)</f>
        <v/>
      </c>
      <c r="AH711" s="21">
        <f>IF(AB711="","",AB711-P711)</f>
        <v/>
      </c>
      <c r="AI711" s="18">
        <f>IF(COUNTA(W711:AB711)=0,"未入力",IF(COUNTA(W711:AB711)&lt;6,"一部入力",IF(COUNTIF(AC711:AH711,0)=6,"一致","差分あり")))</f>
        <v/>
      </c>
      <c r="AJ71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1" s="19" t="inlineStr"/>
      <c r="AL711" s="18" t="inlineStr">
        <is>
          <t>2026-06-29</t>
        </is>
      </c>
    </row>
    <row r="712" ht="22" customHeight="1">
      <c r="A712" s="17" t="inlineStr">
        <is>
          <t>1020303-LB4</t>
        </is>
      </c>
      <c r="B712" s="18" t="n">
        <v>1020303</v>
      </c>
      <c r="C712" s="17" t="inlineStr">
        <is>
          <t>AliceC03</t>
        </is>
      </c>
      <c r="D712" s="17" t="inlineStr">
        <is>
          <t>AliceC</t>
        </is>
      </c>
      <c r="E712" s="17" t="inlineStr">
        <is>
          <t>入江 みゆき</t>
        </is>
      </c>
      <c r="F712" s="19" t="inlineStr">
        <is>
          <t>Faraway Eden</t>
        </is>
      </c>
      <c r="G712" s="18" t="inlineStr">
        <is>
          <t>SS</t>
        </is>
      </c>
      <c r="H712" s="17" t="inlineStr">
        <is>
          <t>Defender</t>
        </is>
      </c>
      <c r="I712" s="18" t="n">
        <v>4</v>
      </c>
      <c r="J712" s="18" t="n">
        <v>4</v>
      </c>
      <c r="K712" s="18" t="n">
        <v>455</v>
      </c>
      <c r="L712" s="18" t="n">
        <v>451</v>
      </c>
      <c r="M712" s="18" t="n">
        <v>508</v>
      </c>
      <c r="N712" s="18" t="n">
        <v>481</v>
      </c>
      <c r="O712" s="18" t="n">
        <v>436</v>
      </c>
      <c r="P712" s="18" t="n">
        <v>426</v>
      </c>
      <c r="Q712" s="18" t="n">
        <v>46</v>
      </c>
      <c r="R712" s="18" t="n">
        <v>46</v>
      </c>
      <c r="S712" s="18" t="n">
        <v>51</v>
      </c>
      <c r="T712" s="18" t="n">
        <v>49</v>
      </c>
      <c r="U712" s="18" t="n">
        <v>44</v>
      </c>
      <c r="V712" s="18" t="n">
        <v>43</v>
      </c>
      <c r="W712" s="20" t="n"/>
      <c r="X712" s="20" t="n"/>
      <c r="Y712" s="20" t="n"/>
      <c r="Z712" s="20" t="n"/>
      <c r="AA712" s="20" t="n"/>
      <c r="AB712" s="20" t="n"/>
      <c r="AC712" s="21">
        <f>IF(W712="","",W712-K712)</f>
        <v/>
      </c>
      <c r="AD712" s="21">
        <f>IF(X712="","",X712-L712)</f>
        <v/>
      </c>
      <c r="AE712" s="21">
        <f>IF(Y712="","",Y712-M712)</f>
        <v/>
      </c>
      <c r="AF712" s="21">
        <f>IF(Z712="","",Z712-N712)</f>
        <v/>
      </c>
      <c r="AG712" s="21">
        <f>IF(AA712="","",AA712-O712)</f>
        <v/>
      </c>
      <c r="AH712" s="21">
        <f>IF(AB712="","",AB712-P712)</f>
        <v/>
      </c>
      <c r="AI712" s="18">
        <f>IF(COUNTA(W712:AB712)=0,"未入力",IF(COUNTA(W712:AB712)&lt;6,"一部入力",IF(COUNTIF(AC712:AH712,0)=6,"一致","差分あり")))</f>
        <v/>
      </c>
      <c r="AJ71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2" s="19" t="inlineStr"/>
      <c r="AL712" s="18" t="inlineStr">
        <is>
          <t>2026-06-29</t>
        </is>
      </c>
    </row>
    <row r="713" ht="22" customHeight="1">
      <c r="A713" s="17" t="inlineStr">
        <is>
          <t>1020402-LB0</t>
        </is>
      </c>
      <c r="B713" s="18" t="n">
        <v>1020402</v>
      </c>
      <c r="C713" s="17" t="inlineStr">
        <is>
          <t>BiancaA02</t>
        </is>
      </c>
      <c r="D713" s="17" t="inlineStr">
        <is>
          <t>BiancaA</t>
        </is>
      </c>
      <c r="E713" s="17" t="inlineStr">
        <is>
          <t>渕田 ひさ子</t>
        </is>
      </c>
      <c r="F713" s="19" t="inlineStr">
        <is>
          <t>Finally found our silver lining</t>
        </is>
      </c>
      <c r="G713" s="18" t="inlineStr">
        <is>
          <t>S</t>
        </is>
      </c>
      <c r="H713" s="17" t="inlineStr">
        <is>
          <t>Debuffer</t>
        </is>
      </c>
      <c r="I713" s="18" t="n">
        <v>0</v>
      </c>
      <c r="J713" s="18" t="n">
        <v>10</v>
      </c>
      <c r="K713" s="18" t="n">
        <v>289</v>
      </c>
      <c r="L713" s="18" t="n">
        <v>290</v>
      </c>
      <c r="M713" s="18" t="n">
        <v>329</v>
      </c>
      <c r="N713" s="18" t="n">
        <v>320</v>
      </c>
      <c r="O713" s="18" t="n">
        <v>285</v>
      </c>
      <c r="P713" s="18" t="n">
        <v>275</v>
      </c>
      <c r="Q713" s="18" t="n">
        <v>29</v>
      </c>
      <c r="R713" s="18" t="n">
        <v>29</v>
      </c>
      <c r="S713" s="18" t="n">
        <v>33</v>
      </c>
      <c r="T713" s="18" t="n">
        <v>32</v>
      </c>
      <c r="U713" s="18" t="n">
        <v>29</v>
      </c>
      <c r="V713" s="18" t="n">
        <v>28</v>
      </c>
      <c r="W713" s="20" t="n"/>
      <c r="X713" s="20" t="n"/>
      <c r="Y713" s="20" t="n"/>
      <c r="Z713" s="20" t="n"/>
      <c r="AA713" s="20" t="n"/>
      <c r="AB713" s="20" t="n"/>
      <c r="AC713" s="21">
        <f>IF(W713="","",W713-K713)</f>
        <v/>
      </c>
      <c r="AD713" s="21">
        <f>IF(X713="","",X713-L713)</f>
        <v/>
      </c>
      <c r="AE713" s="21">
        <f>IF(Y713="","",Y713-M713)</f>
        <v/>
      </c>
      <c r="AF713" s="21">
        <f>IF(Z713="","",Z713-N713)</f>
        <v/>
      </c>
      <c r="AG713" s="21">
        <f>IF(AA713="","",AA713-O713)</f>
        <v/>
      </c>
      <c r="AH713" s="21">
        <f>IF(AB713="","",AB713-P713)</f>
        <v/>
      </c>
      <c r="AI713" s="18">
        <f>IF(COUNTA(W713:AB713)=0,"未入力",IF(COUNTA(W713:AB713)&lt;6,"一部入力",IF(COUNTIF(AC713:AH713,0)=6,"一致","差分あり")))</f>
        <v/>
      </c>
      <c r="AJ71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3" s="19" t="inlineStr"/>
      <c r="AL713" s="18" t="inlineStr">
        <is>
          <t>2026-06-29</t>
        </is>
      </c>
    </row>
    <row r="714" ht="22" customHeight="1">
      <c r="A714" s="17" t="inlineStr">
        <is>
          <t>1020402-LB10</t>
        </is>
      </c>
      <c r="B714" s="18" t="n">
        <v>1020402</v>
      </c>
      <c r="C714" s="17" t="inlineStr">
        <is>
          <t>BiancaA02</t>
        </is>
      </c>
      <c r="D714" s="17" t="inlineStr">
        <is>
          <t>BiancaA</t>
        </is>
      </c>
      <c r="E714" s="17" t="inlineStr">
        <is>
          <t>渕田 ひさ子</t>
        </is>
      </c>
      <c r="F714" s="19" t="inlineStr">
        <is>
          <t>Finally found our silver lining</t>
        </is>
      </c>
      <c r="G714" s="18" t="inlineStr">
        <is>
          <t>S</t>
        </is>
      </c>
      <c r="H714" s="17" t="inlineStr">
        <is>
          <t>Debuffer</t>
        </is>
      </c>
      <c r="I714" s="18" t="n">
        <v>10</v>
      </c>
      <c r="J714" s="18" t="n">
        <v>10</v>
      </c>
      <c r="K714" s="18" t="n">
        <v>353</v>
      </c>
      <c r="L714" s="18" t="n">
        <v>355</v>
      </c>
      <c r="M714" s="18" t="n">
        <v>395</v>
      </c>
      <c r="N714" s="18" t="n">
        <v>384</v>
      </c>
      <c r="O714" s="18" t="n">
        <v>351</v>
      </c>
      <c r="P714" s="18" t="n">
        <v>338</v>
      </c>
      <c r="Q714" s="18" t="n">
        <v>36</v>
      </c>
      <c r="R714" s="18" t="n">
        <v>36</v>
      </c>
      <c r="S714" s="18" t="n">
        <v>40</v>
      </c>
      <c r="T714" s="18" t="n">
        <v>39</v>
      </c>
      <c r="U714" s="18" t="n">
        <v>36</v>
      </c>
      <c r="V714" s="18" t="n">
        <v>34</v>
      </c>
      <c r="W714" s="20" t="n"/>
      <c r="X714" s="20" t="n"/>
      <c r="Y714" s="20" t="n"/>
      <c r="Z714" s="20" t="n"/>
      <c r="AA714" s="20" t="n"/>
      <c r="AB714" s="20" t="n"/>
      <c r="AC714" s="21">
        <f>IF(W714="","",W714-K714)</f>
        <v/>
      </c>
      <c r="AD714" s="21">
        <f>IF(X714="","",X714-L714)</f>
        <v/>
      </c>
      <c r="AE714" s="21">
        <f>IF(Y714="","",Y714-M714)</f>
        <v/>
      </c>
      <c r="AF714" s="21">
        <f>IF(Z714="","",Z714-N714)</f>
        <v/>
      </c>
      <c r="AG714" s="21">
        <f>IF(AA714="","",AA714-O714)</f>
        <v/>
      </c>
      <c r="AH714" s="21">
        <f>IF(AB714="","",AB714-P714)</f>
        <v/>
      </c>
      <c r="AI714" s="18">
        <f>IF(COUNTA(W714:AB714)=0,"未入力",IF(COUNTA(W714:AB714)&lt;6,"一部入力",IF(COUNTIF(AC714:AH714,0)=6,"一致","差分あり")))</f>
        <v/>
      </c>
      <c r="AJ71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4" s="19" t="inlineStr"/>
      <c r="AL714" s="18" t="inlineStr">
        <is>
          <t>2026-06-29</t>
        </is>
      </c>
    </row>
    <row r="715" ht="22" customHeight="1">
      <c r="A715" s="17" t="inlineStr">
        <is>
          <t>1020502-LB0</t>
        </is>
      </c>
      <c r="B715" s="18" t="n">
        <v>1020502</v>
      </c>
      <c r="C715" s="17" t="inlineStr">
        <is>
          <t>CathyA02</t>
        </is>
      </c>
      <c r="D715" s="17" t="inlineStr">
        <is>
          <t>CathyA</t>
        </is>
      </c>
      <c r="E715" s="17" t="inlineStr">
        <is>
          <t>関根 しおり</t>
        </is>
      </c>
      <c r="F715" s="19" t="inlineStr">
        <is>
          <t>ぬくもりの記憶</t>
        </is>
      </c>
      <c r="G715" s="18" t="inlineStr">
        <is>
          <t>S</t>
        </is>
      </c>
      <c r="H715" s="17" t="inlineStr">
        <is>
          <t>Healer</t>
        </is>
      </c>
      <c r="I715" s="18" t="n">
        <v>0</v>
      </c>
      <c r="J715" s="18" t="n">
        <v>10</v>
      </c>
      <c r="K715" s="18" t="n">
        <v>294</v>
      </c>
      <c r="L715" s="18" t="n">
        <v>283</v>
      </c>
      <c r="M715" s="18" t="n">
        <v>324</v>
      </c>
      <c r="N715" s="18" t="n">
        <v>329</v>
      </c>
      <c r="O715" s="18" t="n">
        <v>273</v>
      </c>
      <c r="P715" s="18" t="n">
        <v>285</v>
      </c>
      <c r="Q715" s="18" t="n">
        <v>30</v>
      </c>
      <c r="R715" s="18" t="n">
        <v>29</v>
      </c>
      <c r="S715" s="18" t="n">
        <v>33</v>
      </c>
      <c r="T715" s="18" t="n">
        <v>33</v>
      </c>
      <c r="U715" s="18" t="n">
        <v>28</v>
      </c>
      <c r="V715" s="18" t="n">
        <v>29</v>
      </c>
      <c r="W715" s="20" t="n"/>
      <c r="X715" s="20" t="n"/>
      <c r="Y715" s="20" t="n"/>
      <c r="Z715" s="20" t="n"/>
      <c r="AA715" s="20" t="n"/>
      <c r="AB715" s="20" t="n"/>
      <c r="AC715" s="21">
        <f>IF(W715="","",W715-K715)</f>
        <v/>
      </c>
      <c r="AD715" s="21">
        <f>IF(X715="","",X715-L715)</f>
        <v/>
      </c>
      <c r="AE715" s="21">
        <f>IF(Y715="","",Y715-M715)</f>
        <v/>
      </c>
      <c r="AF715" s="21">
        <f>IF(Z715="","",Z715-N715)</f>
        <v/>
      </c>
      <c r="AG715" s="21">
        <f>IF(AA715="","",AA715-O715)</f>
        <v/>
      </c>
      <c r="AH715" s="21">
        <f>IF(AB715="","",AB715-P715)</f>
        <v/>
      </c>
      <c r="AI715" s="18">
        <f>IF(COUNTA(W715:AB715)=0,"未入力",IF(COUNTA(W715:AB715)&lt;6,"一部入力",IF(COUNTIF(AC715:AH715,0)=6,"一致","差分あり")))</f>
        <v/>
      </c>
      <c r="AJ71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5" s="19" t="inlineStr"/>
      <c r="AL715" s="18" t="inlineStr">
        <is>
          <t>2026-06-29</t>
        </is>
      </c>
    </row>
    <row r="716" ht="22" customHeight="1">
      <c r="A716" s="17" t="inlineStr">
        <is>
          <t>1020502-LB10</t>
        </is>
      </c>
      <c r="B716" s="18" t="n">
        <v>1020502</v>
      </c>
      <c r="C716" s="17" t="inlineStr">
        <is>
          <t>CathyA02</t>
        </is>
      </c>
      <c r="D716" s="17" t="inlineStr">
        <is>
          <t>CathyA</t>
        </is>
      </c>
      <c r="E716" s="17" t="inlineStr">
        <is>
          <t>関根 しおり</t>
        </is>
      </c>
      <c r="F716" s="19" t="inlineStr">
        <is>
          <t>ぬくもりの記憶</t>
        </is>
      </c>
      <c r="G716" s="18" t="inlineStr">
        <is>
          <t>S</t>
        </is>
      </c>
      <c r="H716" s="17" t="inlineStr">
        <is>
          <t>Healer</t>
        </is>
      </c>
      <c r="I716" s="18" t="n">
        <v>10</v>
      </c>
      <c r="J716" s="18" t="n">
        <v>10</v>
      </c>
      <c r="K716" s="18" t="n">
        <v>359</v>
      </c>
      <c r="L716" s="18" t="n">
        <v>345</v>
      </c>
      <c r="M716" s="18" t="n">
        <v>389</v>
      </c>
      <c r="N716" s="18" t="n">
        <v>395</v>
      </c>
      <c r="O716" s="18" t="n">
        <v>336</v>
      </c>
      <c r="P716" s="18" t="n">
        <v>351</v>
      </c>
      <c r="Q716" s="18" t="n">
        <v>36</v>
      </c>
      <c r="R716" s="18" t="n">
        <v>35</v>
      </c>
      <c r="S716" s="18" t="n">
        <v>39</v>
      </c>
      <c r="T716" s="18" t="n">
        <v>40</v>
      </c>
      <c r="U716" s="18" t="n">
        <v>34</v>
      </c>
      <c r="V716" s="18" t="n">
        <v>36</v>
      </c>
      <c r="W716" s="20" t="n"/>
      <c r="X716" s="20" t="n"/>
      <c r="Y716" s="20" t="n"/>
      <c r="Z716" s="20" t="n"/>
      <c r="AA716" s="20" t="n"/>
      <c r="AB716" s="20" t="n"/>
      <c r="AC716" s="21">
        <f>IF(W716="","",W716-K716)</f>
        <v/>
      </c>
      <c r="AD716" s="21">
        <f>IF(X716="","",X716-L716)</f>
        <v/>
      </c>
      <c r="AE716" s="21">
        <f>IF(Y716="","",Y716-M716)</f>
        <v/>
      </c>
      <c r="AF716" s="21">
        <f>IF(Z716="","",Z716-N716)</f>
        <v/>
      </c>
      <c r="AG716" s="21">
        <f>IF(AA716="","",AA716-O716)</f>
        <v/>
      </c>
      <c r="AH716" s="21">
        <f>IF(AB716="","",AB716-P716)</f>
        <v/>
      </c>
      <c r="AI716" s="18">
        <f>IF(COUNTA(W716:AB716)=0,"未入力",IF(COUNTA(W716:AB716)&lt;6,"一部入力",IF(COUNTIF(AC716:AH716,0)=6,"一致","差分あり")))</f>
        <v/>
      </c>
      <c r="AJ71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6" s="19" t="inlineStr"/>
      <c r="AL716" s="18" t="inlineStr">
        <is>
          <t>2026-06-29</t>
        </is>
      </c>
    </row>
    <row r="717" ht="22" customHeight="1">
      <c r="A717" s="17" t="inlineStr">
        <is>
          <t>1020603-LB0</t>
        </is>
      </c>
      <c r="B717" s="18" t="n">
        <v>1020603</v>
      </c>
      <c r="C717" s="17" t="inlineStr">
        <is>
          <t>CathyB03</t>
        </is>
      </c>
      <c r="D717" s="17" t="inlineStr">
        <is>
          <t>CathyB</t>
        </is>
      </c>
      <c r="E717" s="17" t="inlineStr">
        <is>
          <t>芳岡 ユイ</t>
        </is>
      </c>
      <c r="F717" s="19" t="inlineStr">
        <is>
          <t>Stir Soul Song</t>
        </is>
      </c>
      <c r="G717" s="18" t="inlineStr">
        <is>
          <t>SS</t>
        </is>
      </c>
      <c r="H717" s="17" t="inlineStr">
        <is>
          <t>Buffer</t>
        </is>
      </c>
      <c r="I717" s="18" t="n">
        <v>0</v>
      </c>
      <c r="J717" s="18" t="n">
        <v>4</v>
      </c>
      <c r="K717" s="18" t="n">
        <v>374</v>
      </c>
      <c r="L717" s="18" t="n">
        <v>374</v>
      </c>
      <c r="M717" s="18" t="n">
        <v>407</v>
      </c>
      <c r="N717" s="18" t="n">
        <v>390</v>
      </c>
      <c r="O717" s="18" t="n">
        <v>355</v>
      </c>
      <c r="P717" s="18" t="n">
        <v>334</v>
      </c>
      <c r="Q717" s="18" t="n">
        <v>38</v>
      </c>
      <c r="R717" s="18" t="n">
        <v>38</v>
      </c>
      <c r="S717" s="18" t="n">
        <v>41</v>
      </c>
      <c r="T717" s="18" t="n">
        <v>39</v>
      </c>
      <c r="U717" s="18" t="n">
        <v>36</v>
      </c>
      <c r="V717" s="18" t="n">
        <v>34</v>
      </c>
      <c r="W717" s="20" t="n"/>
      <c r="X717" s="20" t="n"/>
      <c r="Y717" s="20" t="n"/>
      <c r="Z717" s="20" t="n"/>
      <c r="AA717" s="20" t="n"/>
      <c r="AB717" s="20" t="n"/>
      <c r="AC717" s="21">
        <f>IF(W717="","",W717-K717)</f>
        <v/>
      </c>
      <c r="AD717" s="21">
        <f>IF(X717="","",X717-L717)</f>
        <v/>
      </c>
      <c r="AE717" s="21">
        <f>IF(Y717="","",Y717-M717)</f>
        <v/>
      </c>
      <c r="AF717" s="21">
        <f>IF(Z717="","",Z717-N717)</f>
        <v/>
      </c>
      <c r="AG717" s="21">
        <f>IF(AA717="","",AA717-O717)</f>
        <v/>
      </c>
      <c r="AH717" s="21">
        <f>IF(AB717="","",AB717-P717)</f>
        <v/>
      </c>
      <c r="AI717" s="18">
        <f>IF(COUNTA(W717:AB717)=0,"未入力",IF(COUNTA(W717:AB717)&lt;6,"一部入力",IF(COUNTIF(AC717:AH717,0)=6,"一致","差分あり")))</f>
        <v/>
      </c>
      <c r="AJ717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7" s="19" t="inlineStr"/>
      <c r="AL717" s="18" t="inlineStr">
        <is>
          <t>2026-06-29</t>
        </is>
      </c>
    </row>
    <row r="718" ht="22" customHeight="1">
      <c r="A718" s="17" t="inlineStr">
        <is>
          <t>1020603-LB4</t>
        </is>
      </c>
      <c r="B718" s="18" t="n">
        <v>1020603</v>
      </c>
      <c r="C718" s="17" t="inlineStr">
        <is>
          <t>CathyB03</t>
        </is>
      </c>
      <c r="D718" s="17" t="inlineStr">
        <is>
          <t>CathyB</t>
        </is>
      </c>
      <c r="E718" s="17" t="inlineStr">
        <is>
          <t>芳岡 ユイ</t>
        </is>
      </c>
      <c r="F718" s="19" t="inlineStr">
        <is>
          <t>Stir Soul Song</t>
        </is>
      </c>
      <c r="G718" s="18" t="inlineStr">
        <is>
          <t>SS</t>
        </is>
      </c>
      <c r="H718" s="17" t="inlineStr">
        <is>
          <t>Buffer</t>
        </is>
      </c>
      <c r="I718" s="18" t="n">
        <v>4</v>
      </c>
      <c r="J718" s="18" t="n">
        <v>4</v>
      </c>
      <c r="K718" s="18" t="n">
        <v>461</v>
      </c>
      <c r="L718" s="18" t="n">
        <v>461</v>
      </c>
      <c r="M718" s="18" t="n">
        <v>493</v>
      </c>
      <c r="N718" s="18" t="n">
        <v>477</v>
      </c>
      <c r="O718" s="18" t="n">
        <v>440</v>
      </c>
      <c r="P718" s="18" t="n">
        <v>419</v>
      </c>
      <c r="Q718" s="18" t="n">
        <v>47</v>
      </c>
      <c r="R718" s="18" t="n">
        <v>47</v>
      </c>
      <c r="S718" s="18" t="n">
        <v>50</v>
      </c>
      <c r="T718" s="18" t="n">
        <v>48</v>
      </c>
      <c r="U718" s="18" t="n">
        <v>44</v>
      </c>
      <c r="V718" s="18" t="n">
        <v>42</v>
      </c>
      <c r="W718" s="20" t="n"/>
      <c r="X718" s="20" t="n"/>
      <c r="Y718" s="20" t="n"/>
      <c r="Z718" s="20" t="n"/>
      <c r="AA718" s="20" t="n"/>
      <c r="AB718" s="20" t="n"/>
      <c r="AC718" s="21">
        <f>IF(W718="","",W718-K718)</f>
        <v/>
      </c>
      <c r="AD718" s="21">
        <f>IF(X718="","",X718-L718)</f>
        <v/>
      </c>
      <c r="AE718" s="21">
        <f>IF(Y718="","",Y718-M718)</f>
        <v/>
      </c>
      <c r="AF718" s="21">
        <f>IF(Z718="","",Z718-N718)</f>
        <v/>
      </c>
      <c r="AG718" s="21">
        <f>IF(AA718="","",AA718-O718)</f>
        <v/>
      </c>
      <c r="AH718" s="21">
        <f>IF(AB718="","",AB718-P718)</f>
        <v/>
      </c>
      <c r="AI718" s="18">
        <f>IF(COUNTA(W718:AB718)=0,"未入力",IF(COUNTA(W718:AB718)&lt;6,"一部入力",IF(COUNTIF(AC718:AH718,0)=6,"一致","差分あり")))</f>
        <v/>
      </c>
      <c r="AJ718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8" s="19" t="inlineStr"/>
      <c r="AL718" s="18" t="inlineStr">
        <is>
          <t>2026-06-29</t>
        </is>
      </c>
    </row>
    <row r="719" ht="22" customHeight="1">
      <c r="A719" s="17" t="inlineStr">
        <is>
          <t>1020703-LB0</t>
        </is>
      </c>
      <c r="B719" s="18" t="n">
        <v>1020703</v>
      </c>
      <c r="C719" s="17" t="inlineStr">
        <is>
          <t>CathyC03</t>
        </is>
      </c>
      <c r="D719" s="17" t="inlineStr">
        <is>
          <t>CathyC</t>
        </is>
      </c>
      <c r="E719" s="17" t="inlineStr">
        <is>
          <t>岩沢 雅美</t>
        </is>
      </c>
      <c r="F719" s="19" t="inlineStr">
        <is>
          <t>Dreamlike Days</t>
        </is>
      </c>
      <c r="G719" s="18" t="inlineStr">
        <is>
          <t>SS</t>
        </is>
      </c>
      <c r="H719" s="17" t="inlineStr">
        <is>
          <t>Blaster</t>
        </is>
      </c>
      <c r="I719" s="18" t="n">
        <v>0</v>
      </c>
      <c r="J719" s="18" t="n">
        <v>4</v>
      </c>
      <c r="K719" s="18" t="n">
        <v>413</v>
      </c>
      <c r="L719" s="18" t="n">
        <v>339</v>
      </c>
      <c r="M719" s="18" t="n">
        <v>355</v>
      </c>
      <c r="N719" s="18" t="n">
        <v>368</v>
      </c>
      <c r="O719" s="18" t="n">
        <v>371</v>
      </c>
      <c r="P719" s="18" t="n">
        <v>387</v>
      </c>
      <c r="Q719" s="18" t="n">
        <v>42</v>
      </c>
      <c r="R719" s="18" t="n">
        <v>34</v>
      </c>
      <c r="S719" s="18" t="n">
        <v>36</v>
      </c>
      <c r="T719" s="18" t="n">
        <v>37</v>
      </c>
      <c r="U719" s="18" t="n">
        <v>38</v>
      </c>
      <c r="V719" s="18" t="n">
        <v>39</v>
      </c>
      <c r="W719" s="20" t="n"/>
      <c r="X719" s="20" t="n"/>
      <c r="Y719" s="20" t="n"/>
      <c r="Z719" s="20" t="n"/>
      <c r="AA719" s="20" t="n"/>
      <c r="AB719" s="20" t="n"/>
      <c r="AC719" s="21">
        <f>IF(W719="","",W719-K719)</f>
        <v/>
      </c>
      <c r="AD719" s="21">
        <f>IF(X719="","",X719-L719)</f>
        <v/>
      </c>
      <c r="AE719" s="21">
        <f>IF(Y719="","",Y719-M719)</f>
        <v/>
      </c>
      <c r="AF719" s="21">
        <f>IF(Z719="","",Z719-N719)</f>
        <v/>
      </c>
      <c r="AG719" s="21">
        <f>IF(AA719="","",AA719-O719)</f>
        <v/>
      </c>
      <c r="AH719" s="21">
        <f>IF(AB719="","",AB719-P719)</f>
        <v/>
      </c>
      <c r="AI719" s="18">
        <f>IF(COUNTA(W719:AB719)=0,"未入力",IF(COUNTA(W719:AB719)&lt;6,"一部入力",IF(COUNTIF(AC719:AH719,0)=6,"一致","差分あり")))</f>
        <v/>
      </c>
      <c r="AJ719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19" s="19" t="inlineStr"/>
      <c r="AL719" s="18" t="inlineStr">
        <is>
          <t>2026-06-29</t>
        </is>
      </c>
    </row>
    <row r="720" ht="22" customHeight="1">
      <c r="A720" s="17" t="inlineStr">
        <is>
          <t>1020703-LB4</t>
        </is>
      </c>
      <c r="B720" s="18" t="n">
        <v>1020703</v>
      </c>
      <c r="C720" s="17" t="inlineStr">
        <is>
          <t>CathyC03</t>
        </is>
      </c>
      <c r="D720" s="17" t="inlineStr">
        <is>
          <t>CathyC</t>
        </is>
      </c>
      <c r="E720" s="17" t="inlineStr">
        <is>
          <t>岩沢 雅美</t>
        </is>
      </c>
      <c r="F720" s="19" t="inlineStr">
        <is>
          <t>Dreamlike Days</t>
        </is>
      </c>
      <c r="G720" s="18" t="inlineStr">
        <is>
          <t>SS</t>
        </is>
      </c>
      <c r="H720" s="17" t="inlineStr">
        <is>
          <t>Blaster</t>
        </is>
      </c>
      <c r="I720" s="18" t="n">
        <v>4</v>
      </c>
      <c r="J720" s="18" t="n">
        <v>4</v>
      </c>
      <c r="K720" s="18" t="n">
        <v>501</v>
      </c>
      <c r="L720" s="18" t="n">
        <v>426</v>
      </c>
      <c r="M720" s="18" t="n">
        <v>440</v>
      </c>
      <c r="N720" s="18" t="n">
        <v>453</v>
      </c>
      <c r="O720" s="18" t="n">
        <v>457</v>
      </c>
      <c r="P720" s="18" t="n">
        <v>473</v>
      </c>
      <c r="Q720" s="18" t="n">
        <v>51</v>
      </c>
      <c r="R720" s="18" t="n">
        <v>43</v>
      </c>
      <c r="S720" s="18" t="n">
        <v>44</v>
      </c>
      <c r="T720" s="18" t="n">
        <v>46</v>
      </c>
      <c r="U720" s="18" t="n">
        <v>46</v>
      </c>
      <c r="V720" s="18" t="n">
        <v>48</v>
      </c>
      <c r="W720" s="20" t="n"/>
      <c r="X720" s="20" t="n"/>
      <c r="Y720" s="20" t="n"/>
      <c r="Z720" s="20" t="n"/>
      <c r="AA720" s="20" t="n"/>
      <c r="AB720" s="20" t="n"/>
      <c r="AC720" s="21">
        <f>IF(W720="","",W720-K720)</f>
        <v/>
      </c>
      <c r="AD720" s="21">
        <f>IF(X720="","",X720-L720)</f>
        <v/>
      </c>
      <c r="AE720" s="21">
        <f>IF(Y720="","",Y720-M720)</f>
        <v/>
      </c>
      <c r="AF720" s="21">
        <f>IF(Z720="","",Z720-N720)</f>
        <v/>
      </c>
      <c r="AG720" s="21">
        <f>IF(AA720="","",AA720-O720)</f>
        <v/>
      </c>
      <c r="AH720" s="21">
        <f>IF(AB720="","",AB720-P720)</f>
        <v/>
      </c>
      <c r="AI720" s="18">
        <f>IF(COUNTA(W720:AB720)=0,"未入力",IF(COUNTA(W720:AB720)&lt;6,"一部入力",IF(COUNTIF(AC720:AH720,0)=6,"一致","差分あり")))</f>
        <v/>
      </c>
      <c r="AJ720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0" s="19" t="inlineStr"/>
      <c r="AL720" s="18" t="inlineStr">
        <is>
          <t>2026-06-29</t>
        </is>
      </c>
    </row>
    <row r="721" ht="22" customHeight="1">
      <c r="A721" s="17" t="inlineStr">
        <is>
          <t>1021102-LB0</t>
        </is>
      </c>
      <c r="B721" s="18" t="n">
        <v>1021102</v>
      </c>
      <c r="C721" s="17" t="inlineStr">
        <is>
          <t>EmaB03</t>
        </is>
      </c>
      <c r="D721" s="17" t="inlineStr">
        <is>
          <t>EmaB</t>
        </is>
      </c>
      <c r="E721" s="17" t="inlineStr">
        <is>
          <t>モナ</t>
        </is>
      </c>
      <c r="F721" s="19" t="inlineStr">
        <is>
          <t>黎明の魔術師</t>
        </is>
      </c>
      <c r="G721" s="18" t="inlineStr">
        <is>
          <t>SS</t>
        </is>
      </c>
      <c r="H721" s="17" t="inlineStr">
        <is>
          <t>Healer</t>
        </is>
      </c>
      <c r="I721" s="18" t="n">
        <v>0</v>
      </c>
      <c r="J721" s="18" t="n">
        <v>4</v>
      </c>
      <c r="K721" s="18" t="n">
        <v>371</v>
      </c>
      <c r="L721" s="18" t="n">
        <v>371</v>
      </c>
      <c r="M721" s="18" t="n">
        <v>417</v>
      </c>
      <c r="N721" s="18" t="n">
        <v>383</v>
      </c>
      <c r="O721" s="18" t="n">
        <v>358</v>
      </c>
      <c r="P721" s="18" t="n">
        <v>334</v>
      </c>
      <c r="Q721" s="18" t="n">
        <v>38</v>
      </c>
      <c r="R721" s="18" t="n">
        <v>38</v>
      </c>
      <c r="S721" s="18" t="n">
        <v>42</v>
      </c>
      <c r="T721" s="18" t="n">
        <v>39</v>
      </c>
      <c r="U721" s="18" t="n">
        <v>36</v>
      </c>
      <c r="V721" s="18" t="n">
        <v>34</v>
      </c>
      <c r="W721" s="20" t="n"/>
      <c r="X721" s="20" t="n"/>
      <c r="Y721" s="20" t="n"/>
      <c r="Z721" s="20" t="n"/>
      <c r="AA721" s="20" t="n"/>
      <c r="AB721" s="20" t="n"/>
      <c r="AC721" s="21">
        <f>IF(W721="","",W721-K721)</f>
        <v/>
      </c>
      <c r="AD721" s="21">
        <f>IF(X721="","",X721-L721)</f>
        <v/>
      </c>
      <c r="AE721" s="21">
        <f>IF(Y721="","",Y721-M721)</f>
        <v/>
      </c>
      <c r="AF721" s="21">
        <f>IF(Z721="","",Z721-N721)</f>
        <v/>
      </c>
      <c r="AG721" s="21">
        <f>IF(AA721="","",AA721-O721)</f>
        <v/>
      </c>
      <c r="AH721" s="21">
        <f>IF(AB721="","",AB721-P721)</f>
        <v/>
      </c>
      <c r="AI721" s="18">
        <f>IF(COUNTA(W721:AB721)=0,"未入力",IF(COUNTA(W721:AB721)&lt;6,"一部入力",IF(COUNTIF(AC721:AH721,0)=6,"一致","差分あり")))</f>
        <v/>
      </c>
      <c r="AJ721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1" s="19" t="inlineStr"/>
      <c r="AL721" s="18" t="inlineStr">
        <is>
          <t>2026-06-29</t>
        </is>
      </c>
    </row>
    <row r="722" ht="22" customHeight="1">
      <c r="A722" s="17" t="inlineStr">
        <is>
          <t>1021102-LB4</t>
        </is>
      </c>
      <c r="B722" s="18" t="n">
        <v>1021102</v>
      </c>
      <c r="C722" s="17" t="inlineStr">
        <is>
          <t>EmaB03</t>
        </is>
      </c>
      <c r="D722" s="17" t="inlineStr">
        <is>
          <t>EmaB</t>
        </is>
      </c>
      <c r="E722" s="17" t="inlineStr">
        <is>
          <t>モナ</t>
        </is>
      </c>
      <c r="F722" s="19" t="inlineStr">
        <is>
          <t>黎明の魔術師</t>
        </is>
      </c>
      <c r="G722" s="18" t="inlineStr">
        <is>
          <t>SS</t>
        </is>
      </c>
      <c r="H722" s="17" t="inlineStr">
        <is>
          <t>Healer</t>
        </is>
      </c>
      <c r="I722" s="18" t="n">
        <v>4</v>
      </c>
      <c r="J722" s="18" t="n">
        <v>4</v>
      </c>
      <c r="K722" s="18" t="n">
        <v>457</v>
      </c>
      <c r="L722" s="18" t="n">
        <v>457</v>
      </c>
      <c r="M722" s="18" t="n">
        <v>506</v>
      </c>
      <c r="N722" s="18" t="n">
        <v>469</v>
      </c>
      <c r="O722" s="18" t="n">
        <v>444</v>
      </c>
      <c r="P722" s="18" t="n">
        <v>419</v>
      </c>
      <c r="Q722" s="18" t="n">
        <v>46</v>
      </c>
      <c r="R722" s="18" t="n">
        <v>46</v>
      </c>
      <c r="S722" s="18" t="n">
        <v>51</v>
      </c>
      <c r="T722" s="18" t="n">
        <v>47</v>
      </c>
      <c r="U722" s="18" t="n">
        <v>45</v>
      </c>
      <c r="V722" s="18" t="n">
        <v>42</v>
      </c>
      <c r="W722" s="20" t="n"/>
      <c r="X722" s="20" t="n"/>
      <c r="Y722" s="20" t="n"/>
      <c r="Z722" s="20" t="n"/>
      <c r="AA722" s="20" t="n"/>
      <c r="AB722" s="20" t="n"/>
      <c r="AC722" s="21">
        <f>IF(W722="","",W722-K722)</f>
        <v/>
      </c>
      <c r="AD722" s="21">
        <f>IF(X722="","",X722-L722)</f>
        <v/>
      </c>
      <c r="AE722" s="21">
        <f>IF(Y722="","",Y722-M722)</f>
        <v/>
      </c>
      <c r="AF722" s="21">
        <f>IF(Z722="","",Z722-N722)</f>
        <v/>
      </c>
      <c r="AG722" s="21">
        <f>IF(AA722="","",AA722-O722)</f>
        <v/>
      </c>
      <c r="AH722" s="21">
        <f>IF(AB722="","",AB722-P722)</f>
        <v/>
      </c>
      <c r="AI722" s="18">
        <f>IF(COUNTA(W722:AB722)=0,"未入力",IF(COUNTA(W722:AB722)&lt;6,"一部入力",IF(COUNTIF(AC722:AH722,0)=6,"一致","差分あり")))</f>
        <v/>
      </c>
      <c r="AJ722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2" s="19" t="inlineStr"/>
      <c r="AL722" s="18" t="inlineStr">
        <is>
          <t>2026-06-29</t>
        </is>
      </c>
    </row>
    <row r="723" ht="22" customHeight="1">
      <c r="A723" s="17" t="inlineStr">
        <is>
          <t>1021203-LB0</t>
        </is>
      </c>
      <c r="B723" s="18" t="n">
        <v>1021203</v>
      </c>
      <c r="C723" s="17" t="inlineStr">
        <is>
          <t>EmaC03</t>
        </is>
      </c>
      <c r="D723" s="17" t="inlineStr">
        <is>
          <t>EmaC</t>
        </is>
      </c>
      <c r="E723" s="17" t="inlineStr">
        <is>
          <t>クイーン</t>
        </is>
      </c>
      <c r="F723" s="19" t="inlineStr">
        <is>
          <t>慧眼の女教皇</t>
        </is>
      </c>
      <c r="G723" s="18" t="inlineStr">
        <is>
          <t>SSR</t>
        </is>
      </c>
      <c r="H723" s="17" t="inlineStr">
        <is>
          <t>Breaker</t>
        </is>
      </c>
      <c r="I723" s="18" t="n">
        <v>0</v>
      </c>
      <c r="J723" s="18" t="n">
        <v>4</v>
      </c>
      <c r="K723" s="18" t="n">
        <v>331</v>
      </c>
      <c r="L723" s="18" t="n">
        <v>417</v>
      </c>
      <c r="M723" s="18" t="n">
        <v>374</v>
      </c>
      <c r="N723" s="18" t="n">
        <v>358</v>
      </c>
      <c r="O723" s="18" t="n">
        <v>383</v>
      </c>
      <c r="P723" s="18" t="n">
        <v>371</v>
      </c>
      <c r="Q723" s="18" t="n">
        <v>34</v>
      </c>
      <c r="R723" s="18" t="n">
        <v>42</v>
      </c>
      <c r="S723" s="18" t="n">
        <v>38</v>
      </c>
      <c r="T723" s="18" t="n">
        <v>36</v>
      </c>
      <c r="U723" s="18" t="n">
        <v>39</v>
      </c>
      <c r="V723" s="18" t="n">
        <v>38</v>
      </c>
      <c r="W723" s="20" t="n"/>
      <c r="X723" s="20" t="n"/>
      <c r="Y723" s="20" t="n"/>
      <c r="Z723" s="20" t="n"/>
      <c r="AA723" s="20" t="n"/>
      <c r="AB723" s="20" t="n"/>
      <c r="AC723" s="21">
        <f>IF(W723="","",W723-K723)</f>
        <v/>
      </c>
      <c r="AD723" s="21">
        <f>IF(X723="","",X723-L723)</f>
        <v/>
      </c>
      <c r="AE723" s="21">
        <f>IF(Y723="","",Y723-M723)</f>
        <v/>
      </c>
      <c r="AF723" s="21">
        <f>IF(Z723="","",Z723-N723)</f>
        <v/>
      </c>
      <c r="AG723" s="21">
        <f>IF(AA723="","",AA723-O723)</f>
        <v/>
      </c>
      <c r="AH723" s="21">
        <f>IF(AB723="","",AB723-P723)</f>
        <v/>
      </c>
      <c r="AI723" s="18">
        <f>IF(COUNTA(W723:AB723)=0,"未入力",IF(COUNTA(W723:AB723)&lt;6,"一部入力",IF(COUNTIF(AC723:AH723,0)=6,"一致","差分あり")))</f>
        <v/>
      </c>
      <c r="AJ723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3" s="19" t="inlineStr"/>
      <c r="AL723" s="18" t="inlineStr">
        <is>
          <t>2026-06-29</t>
        </is>
      </c>
    </row>
    <row r="724" ht="22" customHeight="1">
      <c r="A724" s="17" t="inlineStr">
        <is>
          <t>1021203-LB4</t>
        </is>
      </c>
      <c r="B724" s="18" t="n">
        <v>1021203</v>
      </c>
      <c r="C724" s="17" t="inlineStr">
        <is>
          <t>EmaC03</t>
        </is>
      </c>
      <c r="D724" s="17" t="inlineStr">
        <is>
          <t>EmaC</t>
        </is>
      </c>
      <c r="E724" s="17" t="inlineStr">
        <is>
          <t>クイーン</t>
        </is>
      </c>
      <c r="F724" s="19" t="inlineStr">
        <is>
          <t>慧眼の女教皇</t>
        </is>
      </c>
      <c r="G724" s="18" t="inlineStr">
        <is>
          <t>SSR</t>
        </is>
      </c>
      <c r="H724" s="17" t="inlineStr">
        <is>
          <t>Breaker</t>
        </is>
      </c>
      <c r="I724" s="18" t="n">
        <v>4</v>
      </c>
      <c r="J724" s="18" t="n">
        <v>4</v>
      </c>
      <c r="K724" s="18" t="n">
        <v>415</v>
      </c>
      <c r="L724" s="18" t="n">
        <v>506</v>
      </c>
      <c r="M724" s="18" t="n">
        <v>461</v>
      </c>
      <c r="N724" s="18" t="n">
        <v>444</v>
      </c>
      <c r="O724" s="18" t="n">
        <v>469</v>
      </c>
      <c r="P724" s="18" t="n">
        <v>457</v>
      </c>
      <c r="Q724" s="18" t="n">
        <v>42</v>
      </c>
      <c r="R724" s="18" t="n">
        <v>51</v>
      </c>
      <c r="S724" s="18" t="n">
        <v>47</v>
      </c>
      <c r="T724" s="18" t="n">
        <v>45</v>
      </c>
      <c r="U724" s="18" t="n">
        <v>47</v>
      </c>
      <c r="V724" s="18" t="n">
        <v>46</v>
      </c>
      <c r="W724" s="20" t="n"/>
      <c r="X724" s="20" t="n"/>
      <c r="Y724" s="20" t="n"/>
      <c r="Z724" s="20" t="n"/>
      <c r="AA724" s="20" t="n"/>
      <c r="AB724" s="20" t="n"/>
      <c r="AC724" s="21">
        <f>IF(W724="","",W724-K724)</f>
        <v/>
      </c>
      <c r="AD724" s="21">
        <f>IF(X724="","",X724-L724)</f>
        <v/>
      </c>
      <c r="AE724" s="21">
        <f>IF(Y724="","",Y724-M724)</f>
        <v/>
      </c>
      <c r="AF724" s="21">
        <f>IF(Z724="","",Z724-N724)</f>
        <v/>
      </c>
      <c r="AG724" s="21">
        <f>IF(AA724="","",AA724-O724)</f>
        <v/>
      </c>
      <c r="AH724" s="21">
        <f>IF(AB724="","",AB724-P724)</f>
        <v/>
      </c>
      <c r="AI724" s="18">
        <f>IF(COUNTA(W724:AB724)=0,"未入力",IF(COUNTA(W724:AB724)&lt;6,"一部入力",IF(COUNTIF(AC724:AH724,0)=6,"一致","差分あり")))</f>
        <v/>
      </c>
      <c r="AJ724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4" s="19" t="inlineStr"/>
      <c r="AL724" s="18" t="inlineStr">
        <is>
          <t>2026-06-29</t>
        </is>
      </c>
    </row>
    <row r="725" ht="22" customHeight="1">
      <c r="A725" s="17" t="inlineStr">
        <is>
          <t>1021303-LB0</t>
        </is>
      </c>
      <c r="B725" s="18" t="n">
        <v>1021303</v>
      </c>
      <c r="C725" s="17" t="inlineStr">
        <is>
          <t>EmaD03</t>
        </is>
      </c>
      <c r="D725" s="17" t="inlineStr">
        <is>
          <t>EmaD</t>
        </is>
      </c>
      <c r="E725" s="17" t="inlineStr">
        <is>
          <t>ヴァイオレット</t>
        </is>
      </c>
      <c r="F725" s="19" t="inlineStr">
        <is>
          <t>揺るぎなき信念</t>
        </is>
      </c>
      <c r="G725" s="18" t="inlineStr">
        <is>
          <t>SSR</t>
        </is>
      </c>
      <c r="H725" s="17" t="inlineStr">
        <is>
          <t>Attacker</t>
        </is>
      </c>
      <c r="I725" s="18" t="n">
        <v>0</v>
      </c>
      <c r="J725" s="18" t="n">
        <v>4</v>
      </c>
      <c r="K725" s="18" t="n">
        <v>417</v>
      </c>
      <c r="L725" s="18" t="n">
        <v>331</v>
      </c>
      <c r="M725" s="18" t="n">
        <v>361</v>
      </c>
      <c r="N725" s="18" t="n">
        <v>371</v>
      </c>
      <c r="O725" s="18" t="n">
        <v>368</v>
      </c>
      <c r="P725" s="18" t="n">
        <v>387</v>
      </c>
      <c r="Q725" s="18" t="n">
        <v>42</v>
      </c>
      <c r="R725" s="18" t="n">
        <v>34</v>
      </c>
      <c r="S725" s="18" t="n">
        <v>37</v>
      </c>
      <c r="T725" s="18" t="n">
        <v>38</v>
      </c>
      <c r="U725" s="18" t="n">
        <v>37</v>
      </c>
      <c r="V725" s="18" t="n">
        <v>39</v>
      </c>
      <c r="W725" s="20" t="n"/>
      <c r="X725" s="20" t="n"/>
      <c r="Y725" s="20" t="n"/>
      <c r="Z725" s="20" t="n"/>
      <c r="AA725" s="20" t="n"/>
      <c r="AB725" s="20" t="n"/>
      <c r="AC725" s="21">
        <f>IF(W725="","",W725-K725)</f>
        <v/>
      </c>
      <c r="AD725" s="21">
        <f>IF(X725="","",X725-L725)</f>
        <v/>
      </c>
      <c r="AE725" s="21">
        <f>IF(Y725="","",Y725-M725)</f>
        <v/>
      </c>
      <c r="AF725" s="21">
        <f>IF(Z725="","",Z725-N725)</f>
        <v/>
      </c>
      <c r="AG725" s="21">
        <f>IF(AA725="","",AA725-O725)</f>
        <v/>
      </c>
      <c r="AH725" s="21">
        <f>IF(AB725="","",AB725-P725)</f>
        <v/>
      </c>
      <c r="AI725" s="18">
        <f>IF(COUNTA(W725:AB725)=0,"未入力",IF(COUNTA(W725:AB725)&lt;6,"一部入力",IF(COUNTIF(AC725:AH725,0)=6,"一致","差分あり")))</f>
        <v/>
      </c>
      <c r="AJ725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5" s="19" t="inlineStr"/>
      <c r="AL725" s="18" t="inlineStr">
        <is>
          <t>2026-06-29</t>
        </is>
      </c>
    </row>
    <row r="726" ht="22" customHeight="1">
      <c r="A726" s="17" t="inlineStr">
        <is>
          <t>1021303-LB4</t>
        </is>
      </c>
      <c r="B726" s="18" t="n">
        <v>1021303</v>
      </c>
      <c r="C726" s="17" t="inlineStr">
        <is>
          <t>EmaD03</t>
        </is>
      </c>
      <c r="D726" s="17" t="inlineStr">
        <is>
          <t>EmaD</t>
        </is>
      </c>
      <c r="E726" s="17" t="inlineStr">
        <is>
          <t>ヴァイオレット</t>
        </is>
      </c>
      <c r="F726" s="19" t="inlineStr">
        <is>
          <t>揺るぎなき信念</t>
        </is>
      </c>
      <c r="G726" s="18" t="inlineStr">
        <is>
          <t>SSR</t>
        </is>
      </c>
      <c r="H726" s="17" t="inlineStr">
        <is>
          <t>Attacker</t>
        </is>
      </c>
      <c r="I726" s="18" t="n">
        <v>4</v>
      </c>
      <c r="J726" s="18" t="n">
        <v>4</v>
      </c>
      <c r="K726" s="18" t="n">
        <v>506</v>
      </c>
      <c r="L726" s="18" t="n">
        <v>415</v>
      </c>
      <c r="M726" s="18" t="n">
        <v>448</v>
      </c>
      <c r="N726" s="18" t="n">
        <v>457</v>
      </c>
      <c r="O726" s="18" t="n">
        <v>453</v>
      </c>
      <c r="P726" s="18" t="n">
        <v>473</v>
      </c>
      <c r="Q726" s="18" t="n">
        <v>51</v>
      </c>
      <c r="R726" s="18" t="n">
        <v>42</v>
      </c>
      <c r="S726" s="18" t="n">
        <v>45</v>
      </c>
      <c r="T726" s="18" t="n">
        <v>46</v>
      </c>
      <c r="U726" s="18" t="n">
        <v>46</v>
      </c>
      <c r="V726" s="18" t="n">
        <v>48</v>
      </c>
      <c r="W726" s="20" t="n"/>
      <c r="X726" s="20" t="n"/>
      <c r="Y726" s="20" t="n"/>
      <c r="Z726" s="20" t="n"/>
      <c r="AA726" s="20" t="n"/>
      <c r="AB726" s="20" t="n"/>
      <c r="AC726" s="21">
        <f>IF(W726="","",W726-K726)</f>
        <v/>
      </c>
      <c r="AD726" s="21">
        <f>IF(X726="","",X726-L726)</f>
        <v/>
      </c>
      <c r="AE726" s="21">
        <f>IF(Y726="","",Y726-M726)</f>
        <v/>
      </c>
      <c r="AF726" s="21">
        <f>IF(Z726="","",Z726-N726)</f>
        <v/>
      </c>
      <c r="AG726" s="21">
        <f>IF(AA726="","",AA726-O726)</f>
        <v/>
      </c>
      <c r="AH726" s="21">
        <f>IF(AB726="","",AB726-P726)</f>
        <v/>
      </c>
      <c r="AI726" s="18">
        <f>IF(COUNTA(W726:AB726)=0,"未入力",IF(COUNTA(W726:AB726)&lt;6,"一部入力",IF(COUNTIF(AC726:AH726,0)=6,"一致","差分あり")))</f>
        <v/>
      </c>
      <c r="AJ726" s="19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K726" s="19" t="inlineStr"/>
      <c r="AL726" s="18" t="inlineStr">
        <is>
          <t>2026-06-29</t>
        </is>
      </c>
    </row>
  </sheetData>
  <autoFilter ref="A6:AL726"/>
  <mergeCells count="8">
    <mergeCell ref="A5:J5"/>
    <mergeCell ref="AI5:AL5"/>
    <mergeCell ref="K5:P5"/>
    <mergeCell ref="Q5:V5"/>
    <mergeCell ref="AC5:AH5"/>
    <mergeCell ref="A1:AL1"/>
    <mergeCell ref="W5:AB5"/>
    <mergeCell ref="A3:AL3"/>
  </mergeCells>
  <conditionalFormatting sqref="AC7:AH726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AI7:AI726">
    <cfRule type="expression" priority="3" dxfId="0">
      <formula>AI7="一致"</formula>
    </cfRule>
    <cfRule type="expression" priority="4" dxfId="1">
      <formula>AI7="差分あり"</formula>
    </cfRule>
    <cfRule type="expression" priority="5" dxfId="2">
      <formula>AI7="一部入力"</formula>
    </cfRule>
  </conditionalFormatting>
  <dataValidations count="1">
    <dataValidation sqref="W7:AB726" showDropDown="0" showInputMessage="0" showErrorMessage="0" allowBlank="1" errorTitle="入力値エラー" error="0～2000の整数を入力してください。" promptTitle="実機値入力" prompt="ゲーム内で確認した能力値を入力します。" type="whole" operator="between">
      <formula1>0</formula1>
      <formula2>2000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0" customHeight="1">
      <c r="A1" s="22" t="inlineStr">
        <is>
          <t>テンプレート① 実機比較ブック — 使い方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</row>
    <row r="3">
      <c r="A3" s="24" t="inlineStr">
        <is>
          <t>比較手順</t>
        </is>
      </c>
      <c r="B3" s="23" t="n"/>
      <c r="C3" s="23" t="n"/>
      <c r="D3" s="23" t="n"/>
      <c r="E3" s="23" t="n"/>
      <c r="F3" s="23" t="n"/>
      <c r="G3" s="23" t="n"/>
      <c r="H3" s="23" t="n"/>
    </row>
    <row r="4" ht="34" customHeight="1">
      <c r="A4" s="25" t="inlineStr">
        <is>
          <t>1</t>
        </is>
      </c>
      <c r="B4" s="26" t="inlineStr">
        <is>
          <t>「実機比較」シートで対象スタイルとLBをフィルターします。</t>
        </is>
      </c>
      <c r="C4" s="23" t="n"/>
      <c r="D4" s="23" t="n"/>
      <c r="E4" s="23" t="n"/>
      <c r="F4" s="23" t="n"/>
      <c r="G4" s="23" t="n"/>
      <c r="H4" s="23" t="n"/>
    </row>
    <row r="5" ht="34" customHeight="1">
      <c r="A5" s="25" t="inlineStr">
        <is>
          <t>2</t>
        </is>
      </c>
      <c r="B5" s="26" t="inlineStr">
        <is>
          <t>黄色の「実機_STR～CON」へゲーム内表示値を入力します。</t>
        </is>
      </c>
      <c r="C5" s="23" t="n"/>
      <c r="D5" s="23" t="n"/>
      <c r="E5" s="23" t="n"/>
      <c r="F5" s="23" t="n"/>
      <c r="G5" s="23" t="n"/>
      <c r="H5" s="23" t="n"/>
    </row>
    <row r="6" ht="34" customHeight="1">
      <c r="A6" s="25" t="inlineStr">
        <is>
          <t>3</t>
        </is>
      </c>
      <c r="B6" s="26" t="inlineStr">
        <is>
          <t>差分列は「実機－計算」、比較結果は6能力すべて0なら「一致」です。</t>
        </is>
      </c>
      <c r="C6" s="23" t="n"/>
      <c r="D6" s="23" t="n"/>
      <c r="E6" s="23" t="n"/>
      <c r="F6" s="23" t="n"/>
      <c r="G6" s="23" t="n"/>
      <c r="H6" s="23" t="n"/>
    </row>
    <row r="7" ht="34" customHeight="1">
      <c r="A7" s="25" t="inlineStr">
        <is>
          <t>4</t>
        </is>
      </c>
      <c r="B7" s="26" t="inlineStr">
        <is>
          <t>サポート枠では「サポート10%加算」6列をメイン自動値へ能力ごとに加算します。</t>
        </is>
      </c>
      <c r="C7" s="23" t="n"/>
      <c r="D7" s="23" t="n"/>
      <c r="E7" s="23" t="n"/>
      <c r="F7" s="23" t="n"/>
      <c r="G7" s="23" t="n"/>
      <c r="H7" s="23" t="n"/>
    </row>
    <row r="8" ht="34" customHeight="1">
      <c r="A8" s="25" t="inlineStr">
        <is>
          <t>5</t>
        </is>
      </c>
      <c r="B8" s="26" t="inlineStr">
        <is>
          <t>メイン手入力値はサポート込み最終値として扱うため、サポート10%を追加しません。</t>
        </is>
      </c>
      <c r="C8" s="23" t="n"/>
      <c r="D8" s="23" t="n"/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7" t="inlineStr">
        <is>
          <t>計算前提</t>
        </is>
      </c>
      <c r="B10" s="23" t="n"/>
      <c r="C10" s="23" t="n"/>
      <c r="D10" s="23" t="n"/>
      <c r="E10" s="23" t="n"/>
      <c r="F10" s="23" t="n"/>
      <c r="G10" s="23" t="n"/>
      <c r="H10" s="23" t="n"/>
    </row>
    <row r="11" ht="38" customHeight="1">
      <c r="A11" s="23" t="n"/>
      <c r="B11" s="26" t="inlineStr">
        <is>
          <t>・Lv200、転生5回、能力ボード最大、宝珠最大、装備スロットなし</t>
        </is>
      </c>
      <c r="C11" s="23" t="n"/>
      <c r="D11" s="23" t="n"/>
      <c r="E11" s="23" t="n"/>
      <c r="F11" s="23" t="n"/>
      <c r="G11" s="23" t="n"/>
      <c r="H11" s="23" t="n"/>
    </row>
    <row r="12" ht="38" customHeight="1">
      <c r="A12" s="23" t="n"/>
      <c r="B12" s="26" t="inlineStr">
        <is>
          <t>・未選択の同キャラスタイルは完凸として共有RealNumber／ParamAllOtherCardを反映</t>
        </is>
      </c>
      <c r="C12" s="23" t="n"/>
      <c r="D12" s="23" t="n"/>
      <c r="E12" s="23" t="n"/>
      <c r="F12" s="23" t="n"/>
      <c r="G12" s="23" t="n"/>
      <c r="H12" s="23" t="n"/>
    </row>
    <row r="13" ht="38" customHeight="1">
      <c r="A13" s="23" t="n"/>
      <c r="B13" s="26" t="inlineStr">
        <is>
          <t>・Partyで別の同キャラスタイルが選択されている場合、その明示LBが共有計算を上書き</t>
        </is>
      </c>
      <c r="C13" s="23" t="n"/>
      <c r="D13" s="23" t="n"/>
      <c r="E13" s="23" t="n"/>
      <c r="F13" s="23" t="n"/>
      <c r="G13" s="23" t="n"/>
      <c r="H13" s="23" t="n"/>
    </row>
    <row r="14" ht="38" customHeight="1">
      <c r="A14" s="23" t="n"/>
      <c r="B14" s="26" t="inlineStr">
        <is>
          <t>・装備、称号、ダフネ、期間・Stage補正、条件付き能力上昇は対象外</t>
        </is>
      </c>
      <c r="C14" s="23" t="n"/>
      <c r="D14" s="23" t="n"/>
      <c r="E14" s="23" t="n"/>
      <c r="F14" s="23" t="n"/>
      <c r="G14" s="23" t="n"/>
      <c r="H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</row>
    <row r="17">
      <c r="A17" s="28" t="inlineStr">
        <is>
          <t>実データ回帰</t>
        </is>
      </c>
      <c r="B17" s="23" t="n"/>
      <c r="C17" s="23" t="n"/>
      <c r="D17" s="23" t="n"/>
      <c r="E17" s="23" t="n"/>
      <c r="F17" s="23" t="n"/>
      <c r="G17" s="23" t="n"/>
      <c r="H17" s="23" t="n"/>
    </row>
    <row r="18">
      <c r="A18" s="29" t="inlineStr">
        <is>
          <t>RKayamori04 LB0</t>
        </is>
      </c>
      <c r="B18" s="29" t="inlineStr">
        <is>
          <t>STR 439 / DEX 342 / WIS 368 / SPR 386 / LUK 372 / CON 404</t>
        </is>
      </c>
      <c r="C18" s="23" t="n"/>
      <c r="D18" s="23" t="n"/>
      <c r="E18" s="23" t="n"/>
      <c r="F18" s="23" t="n"/>
      <c r="G18" s="23" t="n"/>
      <c r="H18" s="23" t="n"/>
    </row>
    <row r="19">
      <c r="A19" s="29" t="inlineStr">
        <is>
          <t>RKayamori04 LB4</t>
        </is>
      </c>
      <c r="B19" s="29" t="inlineStr">
        <is>
          <t>STR 533 / DEX 430 / WIS 457 / SPR 476 / LUK 459 / CON 495</t>
        </is>
      </c>
      <c r="C19" s="23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30" t="inlineStr">
        <is>
          <t>データ・仕様参照</t>
        </is>
      </c>
      <c r="B22" s="23" t="n"/>
      <c r="C22" s="23" t="n"/>
      <c r="D22" s="23" t="n"/>
      <c r="E22" s="23" t="n"/>
      <c r="F22" s="23" t="n"/>
      <c r="G22" s="23" t="n"/>
      <c r="H22" s="23" t="n"/>
    </row>
    <row r="23" ht="32" customHeight="1">
      <c r="A23" s="29" t="inlineStr">
        <is>
          <t>実データ</t>
        </is>
      </c>
      <c r="B23" s="29" t="inlineStr">
        <is>
          <t>json/characters.json, json/styles.json</t>
        </is>
      </c>
      <c r="C23" s="23" t="n"/>
      <c r="D23" s="23" t="n"/>
      <c r="E23" s="23" t="n"/>
      <c r="F23" s="23" t="n"/>
      <c r="G23" s="23" t="n"/>
      <c r="H23" s="23" t="n"/>
    </row>
    <row r="24" ht="32" customHeight="1">
      <c r="A24" s="29" t="inlineStr">
        <is>
          <t>公式サポート枠仕様</t>
        </is>
      </c>
      <c r="B24" s="31" t="inlineStr">
        <is>
          <t>https://wfs-heaven-burns-red.zendesk.com/hc/ja/articles/48890914006553-%E3%82%B5%E3%83%9D%E3%83%BC%E3%83%88%E6%9E%A0</t>
        </is>
      </c>
      <c r="C24" s="23" t="n"/>
      <c r="D24" s="23" t="n"/>
      <c r="E24" s="23" t="n"/>
      <c r="F24" s="23" t="n"/>
      <c r="G24" s="23" t="n"/>
      <c r="H24" s="23" t="n"/>
    </row>
    <row r="25" ht="32" customHeight="1">
      <c r="A25" s="29" t="inlineStr">
        <is>
          <t>能力値計算・端数処理</t>
        </is>
      </c>
      <c r="B25" s="31" t="inlineStr">
        <is>
          <t>https://note.com/harumigg/n/nc897f0cac640</t>
        </is>
      </c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</sheetData>
  <mergeCells count="1">
    <mergeCell ref="A1:H1"/>
  </mergeCells>
  <hyperlinks>
    <hyperlink xmlns:r="http://schemas.openxmlformats.org/officeDocument/2006/relationships" ref="B24" r:id="rId1"/>
    <hyperlink xmlns:r="http://schemas.openxmlformats.org/officeDocument/2006/relationships" ref="B2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2026-06-29T12:56:03Z</dcterms:created>
  <dcterms:modified xsi:type="dcterms:W3CDTF">2026-06-29T12:56:04Z</dcterms:modified>
</cp:coreProperties>
</file>